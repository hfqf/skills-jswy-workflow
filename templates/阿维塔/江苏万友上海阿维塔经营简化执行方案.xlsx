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800"/>
  </bookViews>
  <sheets>
    <sheet name="01_3月经营总表" sheetId="1" r:id="rId1"/>
    <sheet name="02_线索来源分解" sheetId="2" r:id="rId2"/>
    <sheet name="03_门店顾问分解" sheetId="3" r:id="rId3"/>
    <sheet name="04_周执行追踪" sheetId="4" r:id="rId4"/>
    <sheet name="05_销售分析排名" sheetId="5" r:id="rId5"/>
  </sheets>
  <definedNames>
    <definedName name="_xlnm._FilterDatabase" localSheetId="1" hidden="1">'02_线索来源分解'!$A$5:$K$22</definedName>
    <definedName name="_xlnm._FilterDatabase" localSheetId="3" hidden="1">'04_周执行追踪'!$A$5:$O$29</definedName>
    <definedName name="_xlnm._FilterDatabase" localSheetId="4" hidden="1">'05_销售分析排名'!$A$11:$R$35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donaldsandoz</author>
  </authors>
  <commentList>
    <comment ref="D21" authorId="0">
      <text>
        <r>
          <rPr>
            <sz val="10"/>
            <rFont val="宋体"/>
            <charset val="134"/>
          </rPr>
          <t xml:space="preserve">参考线索渗透率
</t>
        </r>
      </text>
    </comment>
  </commentList>
</comments>
</file>

<file path=xl/sharedStrings.xml><?xml version="1.0" encoding="utf-8"?>
<sst xmlns="http://schemas.openxmlformats.org/spreadsheetml/2006/main" count="390" uniqueCount="209">
  <si>
    <t>江苏万友上海阿维塔 2026年3月经营目标（简化执行版）</t>
  </si>
  <si>
    <t>数据来源：门店及AC明细表0301（上海门店、人员、3月车型销量、单店费用）</t>
  </si>
  <si>
    <t>一、3月核心经营指标（蓝色可调整）</t>
  </si>
  <si>
    <t>3月销售目标（台）</t>
  </si>
  <si>
    <t>默认引用3月门店合计销量</t>
  </si>
  <si>
    <t>其中库存车销售目标（台）</t>
  </si>
  <si>
    <t>默认按40%设置，可调整</t>
  </si>
  <si>
    <t>3月目标成交率</t>
  </si>
  <si>
    <t>沿用模板渠道成交口径</t>
  </si>
  <si>
    <t>3月线索目标（条）</t>
  </si>
  <si>
    <t>由销量目标反推</t>
  </si>
  <si>
    <t>二、分车型销售、库存、毛利、费用、利润</t>
  </si>
  <si>
    <t>车型</t>
  </si>
  <si>
    <t>3月销量目标(台)</t>
  </si>
  <si>
    <t>库存车目标(台)</t>
  </si>
  <si>
    <t>单车成交均价(元)</t>
  </si>
  <si>
    <t>单车毛利(元，可手工输入)</t>
  </si>
  <si>
    <t>单车变动费用(元)</t>
  </si>
  <si>
    <t>单车贡献利润(元)</t>
  </si>
  <si>
    <t>毛利总额(元)</t>
  </si>
  <si>
    <t>变动费用总额(元)</t>
  </si>
  <si>
    <t>贡献利润总额(元)</t>
  </si>
  <si>
    <t>说明</t>
  </si>
  <si>
    <t>阿维塔06</t>
  </si>
  <si>
    <t>3月主销去化（提升毛利结构）</t>
  </si>
  <si>
    <t>阿维塔07</t>
  </si>
  <si>
    <t>3月主销车型（提升成交质量）</t>
  </si>
  <si>
    <t>阿维塔11</t>
  </si>
  <si>
    <t>3月老款清库（保利润）</t>
  </si>
  <si>
    <t>阿维塔12</t>
  </si>
  <si>
    <t>3月高配成交（利润补位）</t>
  </si>
  <si>
    <t>合计</t>
  </si>
  <si>
    <t>三、费用与利润汇总</t>
  </si>
  <si>
    <t>销售收入（估算）</t>
  </si>
  <si>
    <t>车型贡献利润（毛利-变动费用）</t>
  </si>
  <si>
    <t>门店固定费用（来自明细表）</t>
  </si>
  <si>
    <t>预计经营利润（扣门店固定费用）</t>
  </si>
  <si>
    <t>单车经营利润</t>
  </si>
  <si>
    <t>3月线索来源与门店分解（上海版）</t>
  </si>
  <si>
    <t>渠道口径：沿用模板渠道结构；门店目标与费用：导入门店及AC明细表0301。</t>
  </si>
  <si>
    <t>一、渠道级3月目标</t>
  </si>
  <si>
    <t>渠道</t>
  </si>
  <si>
    <t>来源线索</t>
  </si>
  <si>
    <t>来源订单</t>
  </si>
  <si>
    <t>来源成交率</t>
  </si>
  <si>
    <t>线索占比</t>
  </si>
  <si>
    <t>3月线索目标</t>
  </si>
  <si>
    <t>3月订单目标</t>
  </si>
  <si>
    <t>目标成交率</t>
  </si>
  <si>
    <t>建议CPL</t>
  </si>
  <si>
    <t>预算(元)</t>
  </si>
  <si>
    <t>负责人</t>
  </si>
  <si>
    <t>厂家渠道线索</t>
  </si>
  <si>
    <t>厂家对接岗</t>
  </si>
  <si>
    <t>自然进店</t>
  </si>
  <si>
    <t>门店销售经理</t>
  </si>
  <si>
    <t>快闪展示/车展</t>
  </si>
  <si>
    <t>市场活动经理</t>
  </si>
  <si>
    <t>三方平台</t>
  </si>
  <si>
    <t>线索运营</t>
  </si>
  <si>
    <t>老客户带新</t>
  </si>
  <si>
    <t>CRM专员</t>
  </si>
  <si>
    <t>新媒体</t>
  </si>
  <si>
    <t>新媒体主管</t>
  </si>
  <si>
    <t>市场活动</t>
  </si>
  <si>
    <t>大客户矩阵</t>
  </si>
  <si>
    <t>大客户经理</t>
  </si>
  <si>
    <t>区域展示活动</t>
  </si>
  <si>
    <t>区域市场</t>
  </si>
  <si>
    <t>社区园区推广</t>
  </si>
  <si>
    <t>地推主管</t>
  </si>
  <si>
    <t>交付售后回流介绍</t>
  </si>
  <si>
    <t>交付/售后主管</t>
  </si>
  <si>
    <t>异业联盟</t>
  </si>
  <si>
    <t>异业BD</t>
  </si>
  <si>
    <t>其他付费推广</t>
  </si>
  <si>
    <t>投放专员</t>
  </si>
  <si>
    <t>圈层活动</t>
  </si>
  <si>
    <t>圈层运营</t>
  </si>
  <si>
    <t>地图搜索+本地生活</t>
  </si>
  <si>
    <t>门店运营</t>
  </si>
  <si>
    <t>美团+大众点评</t>
  </si>
  <si>
    <t>二、门店目标与费用明细（导入明细表）</t>
  </si>
  <si>
    <t>门店</t>
  </si>
  <si>
    <t>3月销量(台)</t>
  </si>
  <si>
    <t>3月线索目标(条)</t>
  </si>
  <si>
    <t>单店费用(万元)</t>
  </si>
  <si>
    <t>单店费用(元)</t>
  </si>
  <si>
    <t>单车固定费用(元/台)</t>
  </si>
  <si>
    <t>厂家渠道</t>
  </si>
  <si>
    <t>快闪/车展</t>
  </si>
  <si>
    <t>老带新</t>
  </si>
  <si>
    <t>大客户</t>
  </si>
  <si>
    <t>区域活动</t>
  </si>
  <si>
    <t>社区园区</t>
  </si>
  <si>
    <t>交付回流</t>
  </si>
  <si>
    <t>其他渠道</t>
  </si>
  <si>
    <t>上海车市店</t>
  </si>
  <si>
    <t>店长</t>
  </si>
  <si>
    <t>上海茸兴店</t>
  </si>
  <si>
    <t>上海松江店</t>
  </si>
  <si>
    <t>上海龙湖奉贤天街店</t>
  </si>
  <si>
    <t>上海沪青平店</t>
  </si>
  <si>
    <t>上海中春店</t>
  </si>
  <si>
    <t>门店-销售顾问目标与利润分解（上海版）</t>
  </si>
  <si>
    <t>数据来源：门店及AC明细表0301；3月车型销量默认转为3月个人目标，可按实际调整。</t>
  </si>
  <si>
    <t>一、销售顾问分解（蓝色可调整）</t>
  </si>
  <si>
    <t>销售顾问</t>
  </si>
  <si>
    <t>3月07</t>
  </si>
  <si>
    <t>3月06</t>
  </si>
  <si>
    <t>3月12</t>
  </si>
  <si>
    <t>3月合计</t>
  </si>
  <si>
    <t>3月07目标</t>
  </si>
  <si>
    <t>3月06目标</t>
  </si>
  <si>
    <t>3月12目标</t>
  </si>
  <si>
    <t>3月合计目标</t>
  </si>
  <si>
    <t>个人线索目标</t>
  </si>
  <si>
    <t>个人库存目标</t>
  </si>
  <si>
    <t>单车毛利</t>
  </si>
  <si>
    <t>单车变动费用</t>
  </si>
  <si>
    <t>单车贡献利润</t>
  </si>
  <si>
    <t>贡献利润总额</t>
  </si>
  <si>
    <t>分摊门店费用</t>
  </si>
  <si>
    <t>预计经营利润</t>
  </si>
  <si>
    <t>备注</t>
  </si>
  <si>
    <t>梁会方</t>
  </si>
  <si>
    <t>每周五复盘</t>
  </si>
  <si>
    <t>王毅洋</t>
  </si>
  <si>
    <t>马星晨</t>
  </si>
  <si>
    <t>王明龙</t>
  </si>
  <si>
    <t>李宋坚</t>
  </si>
  <si>
    <t>顾浩</t>
  </si>
  <si>
    <t>符陆彬</t>
  </si>
  <si>
    <t>高宏展</t>
  </si>
  <si>
    <t>田汨龙</t>
  </si>
  <si>
    <t>武利海</t>
  </si>
  <si>
    <t>黄大海</t>
  </si>
  <si>
    <t>高荟萃</t>
  </si>
  <si>
    <t>姚佳磊</t>
  </si>
  <si>
    <t>张子君</t>
  </si>
  <si>
    <t>陈佳庆</t>
  </si>
  <si>
    <t>陆佳乐</t>
  </si>
  <si>
    <t>汪兴旺</t>
  </si>
  <si>
    <t>周浩</t>
  </si>
  <si>
    <t>魏子鑫</t>
  </si>
  <si>
    <t>朱继业</t>
  </si>
  <si>
    <t>袁蕾蕾</t>
  </si>
  <si>
    <t>谭叶</t>
  </si>
  <si>
    <t>鲁平</t>
  </si>
  <si>
    <t>二、门店汇总校验</t>
  </si>
  <si>
    <t>门店目标</t>
  </si>
  <si>
    <t>顾问汇总</t>
  </si>
  <si>
    <t>差异</t>
  </si>
  <si>
    <t>状态</t>
  </si>
  <si>
    <t>门店费用(元)</t>
  </si>
  <si>
    <t>顾问分摊费用</t>
  </si>
  <si>
    <t/>
  </si>
  <si>
    <t>3月周执行追踪表（上海门店）</t>
  </si>
  <si>
    <t>按门店目标自动拆分到周；周度费用预算按单店费用均摊，可录入实际值。</t>
  </si>
  <si>
    <t>周度目标与达成</t>
  </si>
  <si>
    <t>周次</t>
  </si>
  <si>
    <t>日期范围</t>
  </si>
  <si>
    <t>周销量目标</t>
  </si>
  <si>
    <t>周库存目标</t>
  </si>
  <si>
    <t>周线索目标</t>
  </si>
  <si>
    <t>实际销量</t>
  </si>
  <si>
    <t>实际库存</t>
  </si>
  <si>
    <t>实际线索</t>
  </si>
  <si>
    <t>销量达成</t>
  </si>
  <si>
    <t>库存达成</t>
  </si>
  <si>
    <t>线索达成</t>
  </si>
  <si>
    <t>周费用预算(元)</t>
  </si>
  <si>
    <t>周费用实际(元)</t>
  </si>
  <si>
    <t>复盘动作</t>
  </si>
  <si>
    <t>第1周</t>
  </si>
  <si>
    <t>3月1日-3月8日</t>
  </si>
  <si>
    <t>第2周</t>
  </si>
  <si>
    <t>3月9日-3月15日</t>
  </si>
  <si>
    <t>第3周</t>
  </si>
  <si>
    <t>3月16日-3月23日</t>
  </si>
  <si>
    <t>第4周</t>
  </si>
  <si>
    <t>3月24日-3月31日</t>
  </si>
  <si>
    <t>江苏万友上海阿维塔 2026年3月销售人员分析与排名</t>
  </si>
  <si>
    <t>数据来源：03_门店顾问分解。排名以“预计经营利润”为主，综合评分=利润50%+销量30%+线索效率20%。</t>
  </si>
  <si>
    <t>一、人员经营概览（自动汇总）</t>
  </si>
  <si>
    <t>销售顾问人数</t>
  </si>
  <si>
    <t>人均销量目标(台)</t>
  </si>
  <si>
    <t>总销量目标(台)</t>
  </si>
  <si>
    <t>人均线索目标(条)</t>
  </si>
  <si>
    <t>总线索目标(条)</t>
  </si>
  <si>
    <t>人均预计经营利润(元)</t>
  </si>
  <si>
    <t>总预计经营利润(元)</t>
  </si>
  <si>
    <t>利润为正人数</t>
  </si>
  <si>
    <t>二、销售人员分析与排名</t>
  </si>
  <si>
    <t>排名</t>
  </si>
  <si>
    <t>预计经营利润(元)</t>
  </si>
  <si>
    <t>利润贡献占比</t>
  </si>
  <si>
    <t>利润排名</t>
  </si>
  <si>
    <t>销量排名</t>
  </si>
  <si>
    <t>线索效率(线索/台)</t>
  </si>
  <si>
    <t>效率排名</t>
  </si>
  <si>
    <t>综合得分</t>
  </si>
  <si>
    <t>综合排名</t>
  </si>
  <si>
    <t>经营建议</t>
  </si>
  <si>
    <t>合计/均值</t>
  </si>
  <si>
    <t>三、TOP5与待提升名单</t>
  </si>
  <si>
    <t>TOP5（按综合排名）</t>
  </si>
  <si>
    <t>待提升5人（按综合排名）</t>
  </si>
  <si>
    <t>顾问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</si>
</sst>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  <numFmt numFmtId="177" formatCode="0.0"/>
  </numFmts>
  <fonts count="27">
    <font>
      <sz val="11"/>
      <color theme="1"/>
      <name val="宋体"/>
      <charset val="134"/>
      <scheme val="minor"/>
    </font>
    <font>
      <b/>
      <sz val="15"/>
      <color rgb="FFFFFFFF"/>
      <name val="Microsoft YaHei"/>
      <charset val="134"/>
    </font>
    <font>
      <sz val="9"/>
      <color rgb="FF666666"/>
      <name val="Microsoft YaHei"/>
      <charset val="134"/>
    </font>
    <font>
      <b/>
      <sz val="11"/>
      <color rgb="FF1F4E78"/>
      <name val="Microsoft YaHei"/>
      <charset val="134"/>
    </font>
    <font>
      <sz val="10"/>
      <color rgb="FF222222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7F6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9" borderId="7">
      <alignment vertical="center"/>
    </xf>
    <xf numFmtId="0" fontId="16" fillId="10" borderId="8">
      <alignment vertical="center"/>
    </xf>
    <xf numFmtId="0" fontId="17" fillId="10" borderId="7">
      <alignment vertical="center"/>
    </xf>
    <xf numFmtId="0" fontId="18" fillId="11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3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76" fontId="6" fillId="6" borderId="1" xfId="0" applyNumberFormat="1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1" fontId="6" fillId="6" borderId="1" xfId="0" applyNumberFormat="1" applyFont="1" applyFill="1" applyBorder="1" applyAlignment="1">
      <alignment horizontal="left" vertical="center" wrapText="1"/>
    </xf>
    <xf numFmtId="10" fontId="6" fillId="6" borderId="1" xfId="0" applyNumberFormat="1" applyFont="1" applyFill="1" applyBorder="1" applyAlignment="1">
      <alignment horizontal="left" vertical="center" wrapText="1"/>
    </xf>
    <xf numFmtId="176" fontId="6" fillId="6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ySplit="11" topLeftCell="A12" activePane="bottomLeft" state="frozen"/>
      <selection/>
      <selection pane="bottomLeft" activeCell="E16" sqref="E16"/>
    </sheetView>
  </sheetViews>
  <sheetFormatPr defaultColWidth="9" defaultRowHeight="16.8"/>
  <cols>
    <col min="1" max="1" width="20" customWidth="1"/>
    <col min="2" max="2" width="15" customWidth="1"/>
    <col min="3" max="3" width="16" customWidth="1"/>
    <col min="4" max="4" width="14" customWidth="1"/>
    <col min="5" max="5" width="14.8942307692308" customWidth="1"/>
    <col min="6" max="7" width="13" customWidth="1"/>
    <col min="8" max="10" width="15" customWidth="1"/>
    <col min="11" max="11" width="30" customWidth="1"/>
  </cols>
  <sheetData>
    <row r="1" ht="22" customHeight="1" spans="1:11">
      <c r="A1" s="1" t="s">
        <v>0</v>
      </c>
    </row>
    <row r="2" spans="1:11">
      <c r="A2" s="2" t="s">
        <v>1</v>
      </c>
    </row>
    <row r="4" spans="1:11">
      <c r="A4" s="3" t="s">
        <v>2</v>
      </c>
    </row>
    <row r="5" spans="1:11">
      <c r="A5" s="9" t="s">
        <v>3</v>
      </c>
      <c r="B5" s="32">
        <v>150</v>
      </c>
      <c r="C5" s="9" t="s">
        <v>4</v>
      </c>
      <c r="D5" s="16"/>
      <c r="E5" s="16"/>
      <c r="F5" s="16"/>
      <c r="G5" s="16"/>
      <c r="H5" s="16"/>
      <c r="I5" s="16"/>
      <c r="J5" s="16"/>
      <c r="K5" s="17"/>
    </row>
    <row r="6" ht="31" customHeight="1" spans="1:11">
      <c r="A6" s="9" t="s">
        <v>5</v>
      </c>
      <c r="B6" s="32">
        <v>60</v>
      </c>
      <c r="C6" s="9" t="s">
        <v>6</v>
      </c>
      <c r="D6" s="16"/>
      <c r="E6" s="16"/>
      <c r="F6" s="16"/>
      <c r="G6" s="16"/>
      <c r="H6" s="16"/>
      <c r="I6" s="16"/>
      <c r="J6" s="16"/>
      <c r="K6" s="17"/>
    </row>
    <row r="7" spans="1:11">
      <c r="A7" s="9" t="s">
        <v>7</v>
      </c>
      <c r="B7" s="33">
        <v>0.0255</v>
      </c>
      <c r="C7" s="9" t="s">
        <v>8</v>
      </c>
      <c r="D7" s="16"/>
      <c r="E7" s="16"/>
      <c r="F7" s="16"/>
      <c r="G7" s="16"/>
      <c r="H7" s="16"/>
      <c r="I7" s="16"/>
      <c r="J7" s="16"/>
      <c r="K7" s="17"/>
    </row>
    <row r="8" spans="1:11">
      <c r="A8" s="9" t="s">
        <v>9</v>
      </c>
      <c r="B8" s="32">
        <f>ROUND(B5/B7,0)</f>
        <v>5882</v>
      </c>
      <c r="C8" s="9" t="s">
        <v>10</v>
      </c>
      <c r="D8" s="16"/>
      <c r="E8" s="16"/>
      <c r="F8" s="16"/>
      <c r="G8" s="16"/>
      <c r="H8" s="16"/>
      <c r="I8" s="16"/>
      <c r="J8" s="16"/>
      <c r="K8" s="17"/>
    </row>
    <row r="10" spans="1:11">
      <c r="A10" s="3" t="s">
        <v>11</v>
      </c>
    </row>
    <row r="11" ht="31" customHeight="1" spans="1:11">
      <c r="A11" s="7" t="s">
        <v>12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s">
        <v>20</v>
      </c>
      <c r="J11" s="7" t="s">
        <v>21</v>
      </c>
      <c r="K11" s="7" t="s">
        <v>22</v>
      </c>
    </row>
    <row r="12" spans="1:11">
      <c r="A12" s="9" t="s">
        <v>23</v>
      </c>
      <c r="B12" s="26">
        <v>60</v>
      </c>
      <c r="C12" s="26">
        <f>ROUND(IF($B$5=0,0,B12/$B$5*$B$6),0)</f>
        <v>24</v>
      </c>
      <c r="D12" s="11">
        <v>238000</v>
      </c>
      <c r="E12" s="34">
        <v>11000</v>
      </c>
      <c r="F12" s="11">
        <v>8500</v>
      </c>
      <c r="G12" s="11">
        <f>E12-F12</f>
        <v>2500</v>
      </c>
      <c r="H12" s="11">
        <f>B12*E12</f>
        <v>660000</v>
      </c>
      <c r="I12" s="11">
        <f>B12*F12</f>
        <v>510000</v>
      </c>
      <c r="J12" s="11">
        <f>B12*G12</f>
        <v>150000</v>
      </c>
      <c r="K12" s="9" t="s">
        <v>24</v>
      </c>
    </row>
    <row r="13" spans="1:11">
      <c r="A13" s="9" t="s">
        <v>25</v>
      </c>
      <c r="B13" s="26">
        <v>75</v>
      </c>
      <c r="C13" s="26">
        <f>ROUND(IF($B$5=0,0,B13/$B$5*$B$6),0)</f>
        <v>30</v>
      </c>
      <c r="D13" s="11">
        <v>268000</v>
      </c>
      <c r="E13" s="34">
        <v>20000</v>
      </c>
      <c r="F13" s="11">
        <v>9000</v>
      </c>
      <c r="G13" s="11">
        <f>E13-F13</f>
        <v>11000</v>
      </c>
      <c r="H13" s="11">
        <f>B13*E13</f>
        <v>1500000</v>
      </c>
      <c r="I13" s="11">
        <f>B13*F13</f>
        <v>675000</v>
      </c>
      <c r="J13" s="11">
        <f>B13*G13</f>
        <v>825000</v>
      </c>
      <c r="K13" s="9" t="s">
        <v>26</v>
      </c>
    </row>
    <row r="14" spans="1:11">
      <c r="A14" s="9" t="s">
        <v>27</v>
      </c>
      <c r="B14" s="26">
        <v>0</v>
      </c>
      <c r="C14" s="26">
        <f>ROUND(IF($B$5=0,0,B14/$B$5*$B$6),0)</f>
        <v>0</v>
      </c>
      <c r="D14" s="11">
        <v>305000</v>
      </c>
      <c r="E14" s="34">
        <v>12000</v>
      </c>
      <c r="F14" s="11">
        <v>8500</v>
      </c>
      <c r="G14" s="11">
        <f>E14-F14</f>
        <v>3500</v>
      </c>
      <c r="H14" s="11">
        <f>B14*E14</f>
        <v>0</v>
      </c>
      <c r="I14" s="11">
        <f>B14*F14</f>
        <v>0</v>
      </c>
      <c r="J14" s="11">
        <f>B14*G14</f>
        <v>0</v>
      </c>
      <c r="K14" s="9" t="s">
        <v>28</v>
      </c>
    </row>
    <row r="15" spans="1:11">
      <c r="A15" s="9" t="s">
        <v>29</v>
      </c>
      <c r="B15" s="26">
        <v>15</v>
      </c>
      <c r="C15" s="26">
        <f>$B$6-SUM(C12:C14)</f>
        <v>6</v>
      </c>
      <c r="D15" s="11">
        <v>328000</v>
      </c>
      <c r="E15" s="34">
        <v>11000</v>
      </c>
      <c r="F15" s="11">
        <v>9000</v>
      </c>
      <c r="G15" s="11">
        <f>E15-F15</f>
        <v>2000</v>
      </c>
      <c r="H15" s="11">
        <f>B15*E15</f>
        <v>165000</v>
      </c>
      <c r="I15" s="11">
        <f>B15*F15</f>
        <v>135000</v>
      </c>
      <c r="J15" s="11">
        <f>B15*G15</f>
        <v>30000</v>
      </c>
      <c r="K15" s="9" t="s">
        <v>30</v>
      </c>
    </row>
    <row r="16" spans="1:11">
      <c r="A16" s="22" t="s">
        <v>31</v>
      </c>
      <c r="B16" s="29">
        <f>SUM(B12:B15)</f>
        <v>150</v>
      </c>
      <c r="C16" s="29">
        <f>SUM(C12:C15)</f>
        <v>60</v>
      </c>
      <c r="D16" s="31"/>
      <c r="E16" s="31"/>
      <c r="F16" s="31"/>
      <c r="G16" s="31">
        <f>IF(B16=0,0,J16/B16)</f>
        <v>6700</v>
      </c>
      <c r="H16" s="31">
        <f>SUM(H12:H15)</f>
        <v>2325000</v>
      </c>
      <c r="I16" s="31">
        <f>SUM(I12:I15)</f>
        <v>1320000</v>
      </c>
      <c r="J16" s="31">
        <f>SUM(J12:J15)</f>
        <v>1005000</v>
      </c>
      <c r="K16" s="22"/>
    </row>
    <row r="18" spans="1:11">
      <c r="A18" s="3" t="s">
        <v>32</v>
      </c>
    </row>
    <row r="19" spans="1:11">
      <c r="A19" s="9" t="s">
        <v>33</v>
      </c>
      <c r="B19" s="6">
        <f>SUMPRODUCT(B12:B15,D12:D15)</f>
        <v>39300000</v>
      </c>
      <c r="C19" s="16"/>
      <c r="D19" s="17"/>
      <c r="E19" s="9"/>
      <c r="F19" s="16"/>
      <c r="G19" s="16"/>
      <c r="H19" s="16"/>
      <c r="I19" s="16"/>
      <c r="J19" s="16"/>
      <c r="K19" s="17"/>
    </row>
    <row r="20" ht="31" customHeight="1" spans="1:11">
      <c r="A20" s="9" t="s">
        <v>34</v>
      </c>
      <c r="B20" s="6">
        <f>J16</f>
        <v>1005000</v>
      </c>
      <c r="C20" s="16"/>
      <c r="D20" s="17"/>
      <c r="E20" s="9"/>
      <c r="F20" s="16"/>
      <c r="G20" s="16"/>
      <c r="H20" s="16"/>
      <c r="I20" s="16"/>
      <c r="J20" s="16"/>
      <c r="K20" s="17"/>
    </row>
    <row r="21" ht="31" customHeight="1" spans="1:11">
      <c r="A21" s="9" t="s">
        <v>35</v>
      </c>
      <c r="B21" s="6">
        <f>163.23*10000</f>
        <v>1632300</v>
      </c>
      <c r="C21" s="16"/>
      <c r="D21" s="17"/>
      <c r="E21" s="9"/>
      <c r="F21" s="16"/>
      <c r="G21" s="16"/>
      <c r="H21" s="16"/>
      <c r="I21" s="16"/>
      <c r="J21" s="16"/>
      <c r="K21" s="17"/>
    </row>
    <row r="22" ht="31" customHeight="1" spans="1:11">
      <c r="A22" s="9" t="s">
        <v>36</v>
      </c>
      <c r="B22" s="6">
        <f>B20-B21</f>
        <v>-627300</v>
      </c>
      <c r="C22" s="16"/>
      <c r="D22" s="17"/>
      <c r="E22" s="9"/>
      <c r="F22" s="16"/>
      <c r="G22" s="16"/>
      <c r="H22" s="16"/>
      <c r="I22" s="16"/>
      <c r="J22" s="16"/>
      <c r="K22" s="17"/>
    </row>
    <row r="23" spans="1:11">
      <c r="A23" s="9" t="s">
        <v>37</v>
      </c>
      <c r="B23" s="6">
        <f>IF(B16=0,0,B22/B16)</f>
        <v>-4182</v>
      </c>
      <c r="C23" s="16"/>
      <c r="D23" s="17"/>
      <c r="E23" s="9"/>
      <c r="F23" s="16"/>
      <c r="G23" s="16"/>
      <c r="H23" s="16"/>
      <c r="I23" s="16"/>
      <c r="J23" s="16"/>
      <c r="K23" s="17"/>
    </row>
  </sheetData>
  <mergeCells count="19">
    <mergeCell ref="A1:K1"/>
    <mergeCell ref="A2:K2"/>
    <mergeCell ref="A4:K4"/>
    <mergeCell ref="C5:K5"/>
    <mergeCell ref="C6:K6"/>
    <mergeCell ref="C7:K7"/>
    <mergeCell ref="C8:K8"/>
    <mergeCell ref="A10:K10"/>
    <mergeCell ref="A18:K18"/>
    <mergeCell ref="B19:D19"/>
    <mergeCell ref="E19:K19"/>
    <mergeCell ref="B20:D20"/>
    <mergeCell ref="E20:K20"/>
    <mergeCell ref="B21:D21"/>
    <mergeCell ref="E21:K21"/>
    <mergeCell ref="B22:D22"/>
    <mergeCell ref="E22:K22"/>
    <mergeCell ref="B23:D23"/>
    <mergeCell ref="E23:K23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pane ySplit="5" topLeftCell="A22" activePane="bottomLeft" state="frozen"/>
      <selection/>
      <selection pane="bottomLeft" activeCell="D21" sqref="A6:D21"/>
    </sheetView>
  </sheetViews>
  <sheetFormatPr defaultColWidth="9" defaultRowHeight="16.8"/>
  <cols>
    <col min="1" max="1" width="18" customWidth="1"/>
    <col min="2" max="3" width="12" customWidth="1"/>
    <col min="4" max="5" width="10" customWidth="1"/>
    <col min="6" max="7" width="12" customWidth="1"/>
    <col min="8" max="8" width="10" customWidth="1"/>
    <col min="9" max="9" width="11" customWidth="1"/>
    <col min="10" max="10" width="13" customWidth="1"/>
    <col min="11" max="11" width="14" customWidth="1"/>
    <col min="12" max="12" width="18" customWidth="1"/>
    <col min="13" max="13" width="10" customWidth="1"/>
    <col min="14" max="22" width="12" customWidth="1"/>
  </cols>
  <sheetData>
    <row r="1" ht="22" customHeight="1" spans="1:11">
      <c r="A1" s="1" t="s">
        <v>38</v>
      </c>
    </row>
    <row r="2" spans="1:11">
      <c r="A2" s="2" t="s">
        <v>39</v>
      </c>
    </row>
    <row r="4" spans="1:11">
      <c r="A4" s="3" t="s">
        <v>40</v>
      </c>
    </row>
    <row r="5" ht="31" customHeight="1" spans="1:11">
      <c r="A5" s="7" t="s">
        <v>41</v>
      </c>
      <c r="B5" s="7" t="s">
        <v>42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51</v>
      </c>
    </row>
    <row r="6" spans="1:11">
      <c r="A6" s="9" t="s">
        <v>52</v>
      </c>
      <c r="B6" s="26">
        <v>6061</v>
      </c>
      <c r="C6" s="26">
        <v>200</v>
      </c>
      <c r="D6" s="12">
        <v>0.033</v>
      </c>
      <c r="E6" s="12">
        <f t="shared" ref="E6:E21" si="0">IF($B$22=0,0,B6/$B$22)</f>
        <v>0.139980138109425</v>
      </c>
      <c r="F6" s="26">
        <f>ROUND('01_3月经营总表'!$B$8*E6,0)</f>
        <v>823</v>
      </c>
      <c r="G6" s="26">
        <f>ROUND('01_3月经营总表'!$B$5*IF($C$22=0,0,C6/$C$22),0)</f>
        <v>27</v>
      </c>
      <c r="H6" s="12">
        <f t="shared" ref="H6:H22" si="1">IF(F6=0,0,G6/F6)</f>
        <v>0.0328068043742406</v>
      </c>
      <c r="I6" s="11">
        <v>85</v>
      </c>
      <c r="J6" s="11">
        <f t="shared" ref="J6:J21" si="2">F6*I6</f>
        <v>69955</v>
      </c>
      <c r="K6" s="9" t="s">
        <v>53</v>
      </c>
    </row>
    <row r="7" spans="1:11">
      <c r="A7" s="9" t="s">
        <v>54</v>
      </c>
      <c r="B7" s="26">
        <v>3776</v>
      </c>
      <c r="C7" s="26">
        <v>185</v>
      </c>
      <c r="D7" s="12">
        <v>0.049</v>
      </c>
      <c r="E7" s="12">
        <f t="shared" si="0"/>
        <v>0.0872075567565071</v>
      </c>
      <c r="F7" s="26">
        <f>ROUND('01_3月经营总表'!$B$8*E7,0)</f>
        <v>513</v>
      </c>
      <c r="G7" s="26">
        <f>ROUND('01_3月经营总表'!$B$5*IF($C$22=0,0,C7/$C$22),0)</f>
        <v>25</v>
      </c>
      <c r="H7" s="12">
        <f t="shared" si="1"/>
        <v>0.0487329434697856</v>
      </c>
      <c r="I7" s="11">
        <v>60</v>
      </c>
      <c r="J7" s="11">
        <f t="shared" si="2"/>
        <v>30780</v>
      </c>
      <c r="K7" s="9" t="s">
        <v>55</v>
      </c>
    </row>
    <row r="8" spans="1:11">
      <c r="A8" s="9" t="s">
        <v>56</v>
      </c>
      <c r="B8" s="26">
        <v>4822</v>
      </c>
      <c r="C8" s="26">
        <v>135</v>
      </c>
      <c r="D8" s="12">
        <v>0.028</v>
      </c>
      <c r="E8" s="12">
        <f t="shared" si="0"/>
        <v>0.111365158548696</v>
      </c>
      <c r="F8" s="26">
        <f>ROUND('01_3月经营总表'!$B$8*E8,0)</f>
        <v>655</v>
      </c>
      <c r="G8" s="26">
        <f>ROUND('01_3月经营总表'!$B$5*IF($C$22=0,0,C8/$C$22),0)</f>
        <v>18</v>
      </c>
      <c r="H8" s="12">
        <f t="shared" si="1"/>
        <v>0.0274809160305344</v>
      </c>
      <c r="I8" s="11">
        <v>180</v>
      </c>
      <c r="J8" s="11">
        <f t="shared" si="2"/>
        <v>117900</v>
      </c>
      <c r="K8" s="9" t="s">
        <v>57</v>
      </c>
    </row>
    <row r="9" spans="1:11">
      <c r="A9" s="9" t="s">
        <v>58</v>
      </c>
      <c r="B9" s="26">
        <v>6000</v>
      </c>
      <c r="C9" s="26">
        <v>110</v>
      </c>
      <c r="D9" s="12">
        <v>0.0183333333333333</v>
      </c>
      <c r="E9" s="12">
        <f t="shared" si="0"/>
        <v>0.138571329591907</v>
      </c>
      <c r="F9" s="26">
        <f>ROUND('01_3月经营总表'!$B$8*E9,0)</f>
        <v>815</v>
      </c>
      <c r="G9" s="26">
        <f>ROUND('01_3月经营总表'!$B$5*IF($C$22=0,0,C9/$C$22),0)</f>
        <v>15</v>
      </c>
      <c r="H9" s="12">
        <f t="shared" si="1"/>
        <v>0.0184049079754601</v>
      </c>
      <c r="I9" s="11">
        <v>220</v>
      </c>
      <c r="J9" s="11">
        <f t="shared" si="2"/>
        <v>179300</v>
      </c>
      <c r="K9" s="9" t="s">
        <v>59</v>
      </c>
    </row>
    <row r="10" spans="1:11">
      <c r="A10" s="9" t="s">
        <v>60</v>
      </c>
      <c r="B10" s="26">
        <v>667</v>
      </c>
      <c r="C10" s="26">
        <v>100</v>
      </c>
      <c r="D10" s="12">
        <v>0.15</v>
      </c>
      <c r="E10" s="12">
        <f t="shared" si="0"/>
        <v>0.0154045128063004</v>
      </c>
      <c r="F10" s="26">
        <f>ROUND('01_3月经营总表'!$B$8*E10,0)</f>
        <v>91</v>
      </c>
      <c r="G10" s="26">
        <f>ROUND('01_3月经营总表'!$B$5*IF($C$22=0,0,C10/$C$22),0)</f>
        <v>14</v>
      </c>
      <c r="H10" s="12">
        <f t="shared" si="1"/>
        <v>0.153846153846154</v>
      </c>
      <c r="I10" s="11">
        <v>50</v>
      </c>
      <c r="J10" s="11">
        <f t="shared" si="2"/>
        <v>4550</v>
      </c>
      <c r="K10" s="9" t="s">
        <v>61</v>
      </c>
    </row>
    <row r="11" spans="1:11">
      <c r="A11" s="9" t="s">
        <v>62</v>
      </c>
      <c r="B11" s="26">
        <v>11112</v>
      </c>
      <c r="C11" s="26">
        <v>100</v>
      </c>
      <c r="D11" s="12">
        <v>0.009</v>
      </c>
      <c r="E11" s="12">
        <f t="shared" si="0"/>
        <v>0.256634102404213</v>
      </c>
      <c r="F11" s="26">
        <f>ROUND('01_3月经营总表'!$B$8*E11,0)</f>
        <v>1510</v>
      </c>
      <c r="G11" s="26">
        <f>ROUND('01_3月经营总表'!$B$5*IF($C$22=0,0,C11/$C$22),0)</f>
        <v>14</v>
      </c>
      <c r="H11" s="12">
        <f t="shared" si="1"/>
        <v>0.00927152317880795</v>
      </c>
      <c r="I11" s="11">
        <v>120</v>
      </c>
      <c r="J11" s="11">
        <f t="shared" si="2"/>
        <v>181200</v>
      </c>
      <c r="K11" s="9" t="s">
        <v>63</v>
      </c>
    </row>
    <row r="12" spans="1:11">
      <c r="A12" s="9" t="s">
        <v>64</v>
      </c>
      <c r="B12" s="26">
        <v>3600</v>
      </c>
      <c r="C12" s="26">
        <v>90</v>
      </c>
      <c r="D12" s="12">
        <v>0.025</v>
      </c>
      <c r="E12" s="12">
        <f t="shared" si="0"/>
        <v>0.0831427977551445</v>
      </c>
      <c r="F12" s="26">
        <f>ROUND('01_3月经营总表'!$B$8*E12,0)</f>
        <v>489</v>
      </c>
      <c r="G12" s="26">
        <f>ROUND('01_3月经营总表'!$B$5*IF($C$22=0,0,C12/$C$22),0)</f>
        <v>12</v>
      </c>
      <c r="H12" s="12">
        <f t="shared" si="1"/>
        <v>0.0245398773006135</v>
      </c>
      <c r="I12" s="11">
        <v>180</v>
      </c>
      <c r="J12" s="11">
        <f t="shared" si="2"/>
        <v>88020</v>
      </c>
      <c r="K12" s="9" t="s">
        <v>57</v>
      </c>
    </row>
    <row r="13" spans="1:11">
      <c r="A13" s="9" t="s">
        <v>65</v>
      </c>
      <c r="B13" s="26">
        <v>550</v>
      </c>
      <c r="C13" s="26">
        <v>55</v>
      </c>
      <c r="D13" s="12">
        <v>0.1</v>
      </c>
      <c r="E13" s="12">
        <f t="shared" si="0"/>
        <v>0.0127023718792582</v>
      </c>
      <c r="F13" s="26">
        <f>ROUND('01_3月经营总表'!$B$8*E13,0)</f>
        <v>75</v>
      </c>
      <c r="G13" s="26">
        <f>ROUND('01_3月经营总表'!$B$5*IF($C$22=0,0,C13/$C$22),0)</f>
        <v>7</v>
      </c>
      <c r="H13" s="12">
        <f t="shared" si="1"/>
        <v>0.0933333333333333</v>
      </c>
      <c r="I13" s="11">
        <v>100</v>
      </c>
      <c r="J13" s="11">
        <f t="shared" si="2"/>
        <v>7500</v>
      </c>
      <c r="K13" s="9" t="s">
        <v>66</v>
      </c>
    </row>
    <row r="14" spans="1:11">
      <c r="A14" s="9" t="s">
        <v>67</v>
      </c>
      <c r="B14" s="26">
        <v>1200</v>
      </c>
      <c r="C14" s="26">
        <v>30</v>
      </c>
      <c r="D14" s="12">
        <v>0.025</v>
      </c>
      <c r="E14" s="12">
        <f t="shared" si="0"/>
        <v>0.0277142659183815</v>
      </c>
      <c r="F14" s="26">
        <f>ROUND('01_3月经营总表'!$B$8*E14,0)</f>
        <v>163</v>
      </c>
      <c r="G14" s="26">
        <f>ROUND('01_3月经营总表'!$B$5*IF($C$22=0,0,C14/$C$22),0)</f>
        <v>4</v>
      </c>
      <c r="H14" s="12">
        <f t="shared" si="1"/>
        <v>0.0245398773006135</v>
      </c>
      <c r="I14" s="11">
        <v>150</v>
      </c>
      <c r="J14" s="11">
        <f t="shared" si="2"/>
        <v>24450</v>
      </c>
      <c r="K14" s="9" t="s">
        <v>68</v>
      </c>
    </row>
    <row r="15" spans="1:11">
      <c r="A15" s="9" t="s">
        <v>69</v>
      </c>
      <c r="B15" s="26">
        <v>1297</v>
      </c>
      <c r="C15" s="26">
        <v>35</v>
      </c>
      <c r="D15" s="12">
        <v>0.027</v>
      </c>
      <c r="E15" s="12">
        <f t="shared" si="0"/>
        <v>0.0299545024134507</v>
      </c>
      <c r="F15" s="26">
        <f>ROUND('01_3月经营总表'!$B$8*E15,0)</f>
        <v>176</v>
      </c>
      <c r="G15" s="26">
        <f>ROUND('01_3月经营总表'!$B$5*IF($C$22=0,0,C15/$C$22),0)</f>
        <v>5</v>
      </c>
      <c r="H15" s="12">
        <f t="shared" si="1"/>
        <v>0.0284090909090909</v>
      </c>
      <c r="I15" s="11">
        <v>130</v>
      </c>
      <c r="J15" s="11">
        <f t="shared" si="2"/>
        <v>22880</v>
      </c>
      <c r="K15" s="9" t="s">
        <v>70</v>
      </c>
    </row>
    <row r="16" spans="1:11">
      <c r="A16" s="9" t="s">
        <v>71</v>
      </c>
      <c r="B16" s="26">
        <v>280</v>
      </c>
      <c r="C16" s="26">
        <v>14</v>
      </c>
      <c r="D16" s="12">
        <v>0.05</v>
      </c>
      <c r="E16" s="12">
        <f t="shared" si="0"/>
        <v>0.00646666204762235</v>
      </c>
      <c r="F16" s="26">
        <f>ROUND('01_3月经营总表'!$B$8*E16,0)</f>
        <v>38</v>
      </c>
      <c r="G16" s="26">
        <f>ROUND('01_3月经营总表'!$B$5*IF($C$22=0,0,C16/$C$22),0)</f>
        <v>2</v>
      </c>
      <c r="H16" s="12">
        <f t="shared" si="1"/>
        <v>0.0526315789473684</v>
      </c>
      <c r="I16" s="11">
        <v>40</v>
      </c>
      <c r="J16" s="11">
        <f t="shared" si="2"/>
        <v>1520</v>
      </c>
      <c r="K16" s="9" t="s">
        <v>72</v>
      </c>
    </row>
    <row r="17" spans="1:22">
      <c r="A17" s="9" t="s">
        <v>73</v>
      </c>
      <c r="B17" s="26">
        <v>858</v>
      </c>
      <c r="C17" s="26">
        <v>12</v>
      </c>
      <c r="D17" s="12">
        <v>0.014</v>
      </c>
      <c r="E17" s="12">
        <f t="shared" si="0"/>
        <v>0.0198157001316428</v>
      </c>
      <c r="F17" s="26">
        <f>ROUND('01_3月经营总表'!$B$8*E17,0)</f>
        <v>117</v>
      </c>
      <c r="G17" s="26">
        <f>ROUND('01_3月经营总表'!$B$5*IF($C$22=0,0,C17/$C$22),0)</f>
        <v>2</v>
      </c>
      <c r="H17" s="12">
        <f t="shared" si="1"/>
        <v>0.0170940170940171</v>
      </c>
      <c r="I17" s="11">
        <v>160</v>
      </c>
      <c r="J17" s="11">
        <f t="shared" si="2"/>
        <v>18720</v>
      </c>
      <c r="K17" s="9" t="s">
        <v>74</v>
      </c>
    </row>
    <row r="18" spans="1:22">
      <c r="A18" s="9" t="s">
        <v>75</v>
      </c>
      <c r="B18" s="26">
        <v>589</v>
      </c>
      <c r="C18" s="26">
        <v>10</v>
      </c>
      <c r="D18" s="12">
        <v>0.017</v>
      </c>
      <c r="E18" s="12">
        <f t="shared" si="0"/>
        <v>0.0136030855216056</v>
      </c>
      <c r="F18" s="26">
        <f>ROUND('01_3月经营总表'!$B$8*E18,0)</f>
        <v>80</v>
      </c>
      <c r="G18" s="26">
        <f>ROUND('01_3月经营总表'!$B$5*IF($C$22=0,0,C18/$C$22),0)</f>
        <v>1</v>
      </c>
      <c r="H18" s="12">
        <f t="shared" si="1"/>
        <v>0.0125</v>
      </c>
      <c r="I18" s="11">
        <v>240</v>
      </c>
      <c r="J18" s="11">
        <f t="shared" si="2"/>
        <v>19200</v>
      </c>
      <c r="K18" s="9" t="s">
        <v>76</v>
      </c>
    </row>
    <row r="19" spans="1:22">
      <c r="A19" s="9" t="s">
        <v>77</v>
      </c>
      <c r="B19" s="26">
        <v>667</v>
      </c>
      <c r="C19" s="26">
        <v>10</v>
      </c>
      <c r="D19" s="12">
        <v>0.015</v>
      </c>
      <c r="E19" s="12">
        <f t="shared" si="0"/>
        <v>0.0154045128063004</v>
      </c>
      <c r="F19" s="26">
        <f>ROUND('01_3月经营总表'!$B$8*E19,0)</f>
        <v>91</v>
      </c>
      <c r="G19" s="26">
        <f>ROUND('01_3月经营总表'!$B$5*IF($C$22=0,0,C19/$C$22),0)</f>
        <v>1</v>
      </c>
      <c r="H19" s="12">
        <f t="shared" si="1"/>
        <v>0.010989010989011</v>
      </c>
      <c r="I19" s="11">
        <v>200</v>
      </c>
      <c r="J19" s="11">
        <f t="shared" si="2"/>
        <v>18200</v>
      </c>
      <c r="K19" s="9" t="s">
        <v>78</v>
      </c>
    </row>
    <row r="20" spans="1:22">
      <c r="A20" s="9" t="s">
        <v>79</v>
      </c>
      <c r="B20" s="26">
        <v>910</v>
      </c>
      <c r="C20" s="26">
        <v>10</v>
      </c>
      <c r="D20" s="12">
        <v>0.011</v>
      </c>
      <c r="E20" s="12">
        <f t="shared" si="0"/>
        <v>0.0210166516547726</v>
      </c>
      <c r="F20" s="26">
        <f>ROUND('01_3月经营总表'!$B$8*E20,0)</f>
        <v>124</v>
      </c>
      <c r="G20" s="26">
        <f>ROUND('01_3月经营总表'!$B$5*IF($C$22=0,0,C20/$C$22),0)</f>
        <v>1</v>
      </c>
      <c r="H20" s="12">
        <f t="shared" si="1"/>
        <v>0.00806451612903226</v>
      </c>
      <c r="I20" s="11">
        <v>90</v>
      </c>
      <c r="J20" s="11">
        <f t="shared" si="2"/>
        <v>11160</v>
      </c>
      <c r="K20" s="9" t="s">
        <v>80</v>
      </c>
    </row>
    <row r="21" spans="1:22">
      <c r="A21" s="9" t="s">
        <v>81</v>
      </c>
      <c r="B21" s="26">
        <v>910</v>
      </c>
      <c r="C21" s="26">
        <v>10</v>
      </c>
      <c r="D21" s="12">
        <v>0.011</v>
      </c>
      <c r="E21" s="12">
        <f t="shared" si="0"/>
        <v>0.0210166516547726</v>
      </c>
      <c r="F21" s="26">
        <f>ROUND('01_3月经营总表'!$B$8*E21,0)</f>
        <v>124</v>
      </c>
      <c r="G21" s="26">
        <f>ROUND('01_3月经营总表'!$B$5*IF($C$22=0,0,C21/$C$22),0)</f>
        <v>1</v>
      </c>
      <c r="H21" s="12">
        <f t="shared" si="1"/>
        <v>0.00806451612903226</v>
      </c>
      <c r="I21" s="11">
        <v>90</v>
      </c>
      <c r="J21" s="11">
        <f t="shared" si="2"/>
        <v>11160</v>
      </c>
      <c r="K21" s="9" t="s">
        <v>80</v>
      </c>
    </row>
    <row r="22" spans="1:22">
      <c r="A22" s="22" t="s">
        <v>31</v>
      </c>
      <c r="B22" s="29">
        <f>SUM(B6:B21)</f>
        <v>43299</v>
      </c>
      <c r="C22" s="29">
        <f>SUM(C6:C21)</f>
        <v>1106</v>
      </c>
      <c r="D22" s="30">
        <f>IF(B22=0,0,C22/B22)</f>
        <v>0.0255433150881083</v>
      </c>
      <c r="E22" s="30">
        <f>SUM(E6:E21)</f>
        <v>1</v>
      </c>
      <c r="F22" s="29">
        <f>SUM(F6:F21)</f>
        <v>5884</v>
      </c>
      <c r="G22" s="29">
        <f>SUM(G6:G21)</f>
        <v>149</v>
      </c>
      <c r="H22" s="30">
        <f t="shared" si="1"/>
        <v>0.0253229095853161</v>
      </c>
      <c r="I22" s="31">
        <f>IF(F22=0,0,J22/F22)</f>
        <v>137.065771583956</v>
      </c>
      <c r="J22" s="31">
        <f>SUM(J6:J21)</f>
        <v>806495</v>
      </c>
      <c r="K22" s="22"/>
    </row>
    <row r="24" spans="1:22">
      <c r="A24" s="3" t="s">
        <v>82</v>
      </c>
    </row>
    <row r="25" ht="46" customHeight="1" spans="1:22">
      <c r="A25" s="7" t="s">
        <v>83</v>
      </c>
      <c r="B25" s="7" t="s">
        <v>84</v>
      </c>
      <c r="C25" s="7" t="s">
        <v>13</v>
      </c>
      <c r="D25" s="7" t="s">
        <v>14</v>
      </c>
      <c r="E25" s="7" t="s">
        <v>85</v>
      </c>
      <c r="F25" s="7" t="s">
        <v>86</v>
      </c>
      <c r="G25" s="7" t="s">
        <v>87</v>
      </c>
      <c r="H25" s="7" t="s">
        <v>88</v>
      </c>
      <c r="I25" s="7" t="s">
        <v>89</v>
      </c>
      <c r="J25" s="7" t="s">
        <v>54</v>
      </c>
      <c r="K25" s="7" t="s">
        <v>90</v>
      </c>
      <c r="L25" s="7" t="s">
        <v>58</v>
      </c>
      <c r="M25" s="7" t="s">
        <v>91</v>
      </c>
      <c r="N25" s="7" t="s">
        <v>62</v>
      </c>
      <c r="O25" s="7" t="s">
        <v>64</v>
      </c>
      <c r="P25" s="7" t="s">
        <v>92</v>
      </c>
      <c r="Q25" s="7" t="s">
        <v>93</v>
      </c>
      <c r="R25" s="7" t="s">
        <v>94</v>
      </c>
      <c r="S25" s="7" t="s">
        <v>95</v>
      </c>
      <c r="T25" s="7" t="s">
        <v>73</v>
      </c>
      <c r="U25" s="7" t="s">
        <v>96</v>
      </c>
      <c r="V25" s="7" t="s">
        <v>51</v>
      </c>
    </row>
    <row r="26" spans="1:22">
      <c r="A26" s="9" t="s">
        <v>97</v>
      </c>
      <c r="B26" s="26">
        <v>26</v>
      </c>
      <c r="C26" s="26">
        <v>26</v>
      </c>
      <c r="D26" s="26">
        <f t="shared" ref="D26:D31" si="3">ROUND(C26*0.4,0)</f>
        <v>10</v>
      </c>
      <c r="E26" s="26">
        <f>ROUND('01_3月经营总表'!$B$8*IF('01_3月经营总表'!$B$5=0,0,C26/'01_3月经营总表'!$B$5),0)</f>
        <v>1020</v>
      </c>
      <c r="F26" s="13">
        <v>17.44</v>
      </c>
      <c r="G26" s="11">
        <f t="shared" ref="G26:G31" si="4">F26*10000</f>
        <v>174400</v>
      </c>
      <c r="H26" s="11">
        <f t="shared" ref="H26:H31" si="5">IF(C26=0,0,G26/C26)</f>
        <v>6707.69230769231</v>
      </c>
      <c r="I26" s="26">
        <f t="shared" ref="I26:I31" si="6">ROUND(E26*$F$6/$F$22,0)</f>
        <v>143</v>
      </c>
      <c r="J26" s="26">
        <f t="shared" ref="J26:J31" si="7">ROUND(E26*$F$7/$F$22,0)</f>
        <v>89</v>
      </c>
      <c r="K26" s="26">
        <f t="shared" ref="K26:K31" si="8">ROUND(E26*$F$8/$F$22,0)</f>
        <v>114</v>
      </c>
      <c r="L26" s="26">
        <f t="shared" ref="L26:L31" si="9">ROUND(E26*$F$9/$F$22,0)</f>
        <v>141</v>
      </c>
      <c r="M26" s="26">
        <f t="shared" ref="M26:M31" si="10">ROUND(E26*$F$10/$F$22,0)</f>
        <v>16</v>
      </c>
      <c r="N26" s="26">
        <f t="shared" ref="N26:N31" si="11">ROUND(E26*$F$11/$F$22,0)</f>
        <v>262</v>
      </c>
      <c r="O26" s="26">
        <f t="shared" ref="O26:O31" si="12">ROUND(E26*$F$12/$F$22,0)</f>
        <v>85</v>
      </c>
      <c r="P26" s="26">
        <f t="shared" ref="P26:P31" si="13">ROUND(E26*$F$13/$F$22,0)</f>
        <v>13</v>
      </c>
      <c r="Q26" s="26">
        <f t="shared" ref="Q26:Q31" si="14">ROUND(E26*$F$14/$F$22,0)</f>
        <v>28</v>
      </c>
      <c r="R26" s="26">
        <f t="shared" ref="R26:R31" si="15">ROUND(E26*$F$15/$F$22,0)</f>
        <v>31</v>
      </c>
      <c r="S26" s="26">
        <f t="shared" ref="S26:S31" si="16">ROUND(E26*$F$16/$F$22,0)</f>
        <v>7</v>
      </c>
      <c r="T26" s="26">
        <f t="shared" ref="T26:T31" si="17">ROUND(E26*$F$17/$F$22,0)</f>
        <v>20</v>
      </c>
      <c r="U26" s="26">
        <f t="shared" ref="U26:U31" si="18">E26-SUM(I26:T26)</f>
        <v>71</v>
      </c>
      <c r="V26" s="9" t="s">
        <v>98</v>
      </c>
    </row>
    <row r="27" spans="1:22">
      <c r="A27" s="9" t="s">
        <v>99</v>
      </c>
      <c r="B27" s="26">
        <v>32</v>
      </c>
      <c r="C27" s="26">
        <v>32</v>
      </c>
      <c r="D27" s="26">
        <f t="shared" si="3"/>
        <v>13</v>
      </c>
      <c r="E27" s="26">
        <f>ROUND('01_3月经营总表'!$B$8*IF('01_3月经营总表'!$B$5=0,0,C27/'01_3月经营总表'!$B$5),0)</f>
        <v>1255</v>
      </c>
      <c r="F27" s="13">
        <v>23.52</v>
      </c>
      <c r="G27" s="11">
        <f t="shared" si="4"/>
        <v>235200</v>
      </c>
      <c r="H27" s="11">
        <f t="shared" si="5"/>
        <v>7350</v>
      </c>
      <c r="I27" s="26">
        <f t="shared" si="6"/>
        <v>176</v>
      </c>
      <c r="J27" s="26">
        <f t="shared" si="7"/>
        <v>109</v>
      </c>
      <c r="K27" s="26">
        <f t="shared" si="8"/>
        <v>140</v>
      </c>
      <c r="L27" s="26">
        <f t="shared" si="9"/>
        <v>174</v>
      </c>
      <c r="M27" s="26">
        <f t="shared" si="10"/>
        <v>19</v>
      </c>
      <c r="N27" s="26">
        <f t="shared" si="11"/>
        <v>322</v>
      </c>
      <c r="O27" s="26">
        <f t="shared" si="12"/>
        <v>104</v>
      </c>
      <c r="P27" s="26">
        <f t="shared" si="13"/>
        <v>16</v>
      </c>
      <c r="Q27" s="26">
        <f t="shared" si="14"/>
        <v>35</v>
      </c>
      <c r="R27" s="26">
        <f t="shared" si="15"/>
        <v>38</v>
      </c>
      <c r="S27" s="26">
        <f t="shared" si="16"/>
        <v>8</v>
      </c>
      <c r="T27" s="26">
        <f t="shared" si="17"/>
        <v>25</v>
      </c>
      <c r="U27" s="26">
        <f t="shared" si="18"/>
        <v>89</v>
      </c>
      <c r="V27" s="9" t="s">
        <v>98</v>
      </c>
    </row>
    <row r="28" spans="1:22">
      <c r="A28" s="9" t="s">
        <v>100</v>
      </c>
      <c r="B28" s="26">
        <v>50</v>
      </c>
      <c r="C28" s="26">
        <v>50</v>
      </c>
      <c r="D28" s="26">
        <f t="shared" si="3"/>
        <v>20</v>
      </c>
      <c r="E28" s="26">
        <f>ROUND('01_3月经营总表'!$B$8*IF('01_3月经营总表'!$B$5=0,0,C28/'01_3月经营总表'!$B$5),0)</f>
        <v>1961</v>
      </c>
      <c r="F28" s="13">
        <v>80.64</v>
      </c>
      <c r="G28" s="11">
        <f t="shared" si="4"/>
        <v>806400</v>
      </c>
      <c r="H28" s="11">
        <f t="shared" si="5"/>
        <v>16128</v>
      </c>
      <c r="I28" s="26">
        <f t="shared" si="6"/>
        <v>274</v>
      </c>
      <c r="J28" s="26">
        <f t="shared" si="7"/>
        <v>171</v>
      </c>
      <c r="K28" s="26">
        <f t="shared" si="8"/>
        <v>218</v>
      </c>
      <c r="L28" s="26">
        <f t="shared" si="9"/>
        <v>272</v>
      </c>
      <c r="M28" s="26">
        <f t="shared" si="10"/>
        <v>30</v>
      </c>
      <c r="N28" s="26">
        <f t="shared" si="11"/>
        <v>503</v>
      </c>
      <c r="O28" s="26">
        <f t="shared" si="12"/>
        <v>163</v>
      </c>
      <c r="P28" s="26">
        <f t="shared" si="13"/>
        <v>25</v>
      </c>
      <c r="Q28" s="26">
        <f t="shared" si="14"/>
        <v>54</v>
      </c>
      <c r="R28" s="26">
        <f t="shared" si="15"/>
        <v>59</v>
      </c>
      <c r="S28" s="26">
        <f t="shared" si="16"/>
        <v>13</v>
      </c>
      <c r="T28" s="26">
        <f t="shared" si="17"/>
        <v>39</v>
      </c>
      <c r="U28" s="26">
        <f t="shared" si="18"/>
        <v>140</v>
      </c>
      <c r="V28" s="9" t="s">
        <v>98</v>
      </c>
    </row>
    <row r="29" ht="31" customHeight="1" spans="1:22">
      <c r="A29" s="9" t="s">
        <v>101</v>
      </c>
      <c r="B29" s="26">
        <v>24</v>
      </c>
      <c r="C29" s="26">
        <v>24</v>
      </c>
      <c r="D29" s="26">
        <f t="shared" si="3"/>
        <v>10</v>
      </c>
      <c r="E29" s="26">
        <f>ROUND('01_3月经营总表'!$B$8*IF('01_3月经营总表'!$B$5=0,0,C29/'01_3月经营总表'!$B$5),0)</f>
        <v>941</v>
      </c>
      <c r="F29" s="13">
        <v>18.28</v>
      </c>
      <c r="G29" s="11">
        <f t="shared" si="4"/>
        <v>182800</v>
      </c>
      <c r="H29" s="11">
        <f t="shared" si="5"/>
        <v>7616.66666666667</v>
      </c>
      <c r="I29" s="26">
        <f t="shared" si="6"/>
        <v>132</v>
      </c>
      <c r="J29" s="26">
        <f t="shared" si="7"/>
        <v>82</v>
      </c>
      <c r="K29" s="26">
        <f t="shared" si="8"/>
        <v>105</v>
      </c>
      <c r="L29" s="26">
        <f t="shared" si="9"/>
        <v>130</v>
      </c>
      <c r="M29" s="26">
        <f t="shared" si="10"/>
        <v>15</v>
      </c>
      <c r="N29" s="26">
        <f t="shared" si="11"/>
        <v>241</v>
      </c>
      <c r="O29" s="26">
        <f t="shared" si="12"/>
        <v>78</v>
      </c>
      <c r="P29" s="26">
        <f t="shared" si="13"/>
        <v>12</v>
      </c>
      <c r="Q29" s="26">
        <f t="shared" si="14"/>
        <v>26</v>
      </c>
      <c r="R29" s="26">
        <f t="shared" si="15"/>
        <v>28</v>
      </c>
      <c r="S29" s="26">
        <f t="shared" si="16"/>
        <v>6</v>
      </c>
      <c r="T29" s="26">
        <f t="shared" si="17"/>
        <v>19</v>
      </c>
      <c r="U29" s="26">
        <f t="shared" si="18"/>
        <v>67</v>
      </c>
      <c r="V29" s="9" t="s">
        <v>98</v>
      </c>
    </row>
    <row r="30" spans="1:22">
      <c r="A30" s="9" t="s">
        <v>102</v>
      </c>
      <c r="B30" s="26">
        <v>12</v>
      </c>
      <c r="C30" s="26">
        <v>12</v>
      </c>
      <c r="D30" s="26">
        <f t="shared" si="3"/>
        <v>5</v>
      </c>
      <c r="E30" s="26">
        <f>ROUND('01_3月经营总表'!$B$8*IF('01_3月经营总表'!$B$5=0,0,C30/'01_3月经营总表'!$B$5),0)</f>
        <v>471</v>
      </c>
      <c r="F30" s="13">
        <v>10</v>
      </c>
      <c r="G30" s="11">
        <f t="shared" si="4"/>
        <v>100000</v>
      </c>
      <c r="H30" s="11">
        <f t="shared" si="5"/>
        <v>8333.33333333333</v>
      </c>
      <c r="I30" s="26">
        <f t="shared" si="6"/>
        <v>66</v>
      </c>
      <c r="J30" s="26">
        <f t="shared" si="7"/>
        <v>41</v>
      </c>
      <c r="K30" s="26">
        <f t="shared" si="8"/>
        <v>52</v>
      </c>
      <c r="L30" s="26">
        <f t="shared" si="9"/>
        <v>65</v>
      </c>
      <c r="M30" s="26">
        <f t="shared" si="10"/>
        <v>7</v>
      </c>
      <c r="N30" s="26">
        <f t="shared" si="11"/>
        <v>121</v>
      </c>
      <c r="O30" s="26">
        <f t="shared" si="12"/>
        <v>39</v>
      </c>
      <c r="P30" s="26">
        <f t="shared" si="13"/>
        <v>6</v>
      </c>
      <c r="Q30" s="26">
        <f t="shared" si="14"/>
        <v>13</v>
      </c>
      <c r="R30" s="26">
        <f t="shared" si="15"/>
        <v>14</v>
      </c>
      <c r="S30" s="26">
        <f t="shared" si="16"/>
        <v>3</v>
      </c>
      <c r="T30" s="26">
        <f t="shared" si="17"/>
        <v>9</v>
      </c>
      <c r="U30" s="26">
        <f t="shared" si="18"/>
        <v>35</v>
      </c>
      <c r="V30" s="9" t="s">
        <v>98</v>
      </c>
    </row>
    <row r="31" spans="1:22">
      <c r="A31" s="9" t="s">
        <v>103</v>
      </c>
      <c r="B31" s="26">
        <v>6</v>
      </c>
      <c r="C31" s="26">
        <v>6</v>
      </c>
      <c r="D31" s="26">
        <f t="shared" si="3"/>
        <v>2</v>
      </c>
      <c r="E31" s="26">
        <f>ROUND('01_3月经营总表'!$B$8*IF('01_3月经营总表'!$B$5=0,0,C31/'01_3月经营总表'!$B$5),0)</f>
        <v>235</v>
      </c>
      <c r="F31" s="13">
        <v>13.35</v>
      </c>
      <c r="G31" s="11">
        <f t="shared" si="4"/>
        <v>133500</v>
      </c>
      <c r="H31" s="11">
        <f t="shared" si="5"/>
        <v>22250</v>
      </c>
      <c r="I31" s="26">
        <f t="shared" si="6"/>
        <v>33</v>
      </c>
      <c r="J31" s="26">
        <f t="shared" si="7"/>
        <v>20</v>
      </c>
      <c r="K31" s="26">
        <f t="shared" si="8"/>
        <v>26</v>
      </c>
      <c r="L31" s="26">
        <f t="shared" si="9"/>
        <v>33</v>
      </c>
      <c r="M31" s="26">
        <f t="shared" si="10"/>
        <v>4</v>
      </c>
      <c r="N31" s="26">
        <f t="shared" si="11"/>
        <v>60</v>
      </c>
      <c r="O31" s="26">
        <f t="shared" si="12"/>
        <v>20</v>
      </c>
      <c r="P31" s="26">
        <f t="shared" si="13"/>
        <v>3</v>
      </c>
      <c r="Q31" s="26">
        <f t="shared" si="14"/>
        <v>7</v>
      </c>
      <c r="R31" s="26">
        <f t="shared" si="15"/>
        <v>7</v>
      </c>
      <c r="S31" s="26">
        <f t="shared" si="16"/>
        <v>2</v>
      </c>
      <c r="T31" s="26">
        <f t="shared" si="17"/>
        <v>5</v>
      </c>
      <c r="U31" s="26">
        <f t="shared" si="18"/>
        <v>15</v>
      </c>
      <c r="V31" s="9" t="s">
        <v>98</v>
      </c>
    </row>
    <row r="32" spans="1:22">
      <c r="A32" s="22" t="s">
        <v>31</v>
      </c>
      <c r="B32" s="22">
        <f t="shared" ref="B32:U32" si="19">SUM(B26:B31)</f>
        <v>150</v>
      </c>
      <c r="C32" s="22">
        <f t="shared" si="19"/>
        <v>150</v>
      </c>
      <c r="D32" s="22">
        <f t="shared" si="19"/>
        <v>60</v>
      </c>
      <c r="E32" s="22">
        <f t="shared" si="19"/>
        <v>5883</v>
      </c>
      <c r="F32" s="22">
        <f t="shared" si="19"/>
        <v>163.23</v>
      </c>
      <c r="G32" s="22">
        <f t="shared" si="19"/>
        <v>1632300</v>
      </c>
      <c r="H32" s="22">
        <f t="shared" si="19"/>
        <v>68385.6923076923</v>
      </c>
      <c r="I32" s="22">
        <f t="shared" si="19"/>
        <v>824</v>
      </c>
      <c r="J32" s="22">
        <f t="shared" si="19"/>
        <v>512</v>
      </c>
      <c r="K32" s="22">
        <f t="shared" si="19"/>
        <v>655</v>
      </c>
      <c r="L32" s="22">
        <f t="shared" si="19"/>
        <v>815</v>
      </c>
      <c r="M32" s="22">
        <f t="shared" si="19"/>
        <v>91</v>
      </c>
      <c r="N32" s="22">
        <f t="shared" si="19"/>
        <v>1509</v>
      </c>
      <c r="O32" s="22">
        <f t="shared" si="19"/>
        <v>489</v>
      </c>
      <c r="P32" s="22">
        <f t="shared" si="19"/>
        <v>75</v>
      </c>
      <c r="Q32" s="22">
        <f t="shared" si="19"/>
        <v>163</v>
      </c>
      <c r="R32" s="22">
        <f t="shared" si="19"/>
        <v>177</v>
      </c>
      <c r="S32" s="22">
        <f t="shared" si="19"/>
        <v>39</v>
      </c>
      <c r="T32" s="22">
        <f t="shared" si="19"/>
        <v>117</v>
      </c>
      <c r="U32" s="22">
        <f t="shared" si="19"/>
        <v>417</v>
      </c>
      <c r="V32" s="22"/>
    </row>
  </sheetData>
  <autoFilter xmlns:etc="http://www.wps.cn/officeDocument/2017/etCustomData" ref="A5:K22" etc:filterBottomFollowUsedRange="0">
    <extLst/>
  </autoFilter>
  <mergeCells count="4">
    <mergeCell ref="A1:V1"/>
    <mergeCell ref="A2:V2"/>
    <mergeCell ref="A4:K4"/>
    <mergeCell ref="A24:V24"/>
  </mergeCells>
  <pageMargins left="0.75" right="0.75" top="1" bottom="1" header="0.5" footer="0.5"/>
  <pageSetup paperSize="1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workbookViewId="0">
      <pane ySplit="5" topLeftCell="A6" activePane="bottomLeft" state="frozen"/>
      <selection/>
      <selection pane="bottomLeft" activeCell="C29" sqref="C29"/>
    </sheetView>
  </sheetViews>
  <sheetFormatPr defaultColWidth="9" defaultRowHeight="16.8"/>
  <cols>
    <col min="1" max="1" width="18" customWidth="1"/>
    <col min="2" max="2" width="12" customWidth="1"/>
    <col min="3" max="5" width="8" customWidth="1"/>
    <col min="6" max="6" width="10" customWidth="1"/>
    <col min="7" max="7" width="10.8942307692308" customWidth="1"/>
    <col min="8" max="9" width="8" customWidth="1"/>
    <col min="10" max="12" width="10" customWidth="1"/>
    <col min="13" max="18" width="12" customWidth="1"/>
    <col min="19" max="19" width="20" customWidth="1"/>
  </cols>
  <sheetData>
    <row r="1" ht="22" customHeight="1" spans="1:19">
      <c r="A1" s="1" t="s">
        <v>104</v>
      </c>
    </row>
    <row r="2" spans="1:19">
      <c r="A2" s="2" t="s">
        <v>105</v>
      </c>
    </row>
    <row r="4" spans="1:19">
      <c r="A4" s="3" t="s">
        <v>106</v>
      </c>
    </row>
    <row r="5" ht="31" customHeight="1" spans="1:19">
      <c r="A5" s="7" t="s">
        <v>83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  <c r="H5" s="7" t="s">
        <v>113</v>
      </c>
      <c r="I5" s="7" t="s">
        <v>114</v>
      </c>
      <c r="J5" s="7" t="s">
        <v>115</v>
      </c>
      <c r="K5" s="7" t="s">
        <v>116</v>
      </c>
      <c r="L5" s="7" t="s">
        <v>117</v>
      </c>
      <c r="M5" s="7" t="s">
        <v>118</v>
      </c>
      <c r="N5" s="7" t="s">
        <v>119</v>
      </c>
      <c r="O5" s="7" t="s">
        <v>120</v>
      </c>
      <c r="P5" s="7" t="s">
        <v>121</v>
      </c>
      <c r="Q5" s="7" t="s">
        <v>122</v>
      </c>
      <c r="R5" s="7" t="s">
        <v>123</v>
      </c>
      <c r="S5" s="7" t="s">
        <v>124</v>
      </c>
    </row>
    <row r="6" spans="1:19">
      <c r="A6" s="9" t="s">
        <v>97</v>
      </c>
      <c r="B6" s="9" t="s">
        <v>125</v>
      </c>
      <c r="C6" s="26">
        <v>4</v>
      </c>
      <c r="D6" s="26">
        <v>2</v>
      </c>
      <c r="E6" s="26">
        <v>1</v>
      </c>
      <c r="F6" s="26">
        <v>7</v>
      </c>
      <c r="G6" s="28">
        <v>4</v>
      </c>
      <c r="H6" s="28">
        <v>2</v>
      </c>
      <c r="I6" s="28">
        <v>1</v>
      </c>
      <c r="J6" s="26">
        <f t="shared" ref="J6:J28" si="0">SUM(G6:I6)</f>
        <v>7</v>
      </c>
      <c r="K6" s="26">
        <f>ROUND(IFERROR(VLOOKUP(A6,'02_线索来源分解'!$A$26:$E$200,5,0)*J6/VLOOKUP(A6,'02_线索来源分解'!$A$26:$E$200,3,0),0),0)</f>
        <v>275</v>
      </c>
      <c r="L6" s="26">
        <f>ROUND(IFERROR(VLOOKUP(A6,'02_线索来源分解'!$A$26:$D$200,4,0)*J6/VLOOKUP(A6,'02_线索来源分解'!$A$26:$D$200,3,0),0),0)</f>
        <v>3</v>
      </c>
      <c r="M6" s="11">
        <f>IF(J6=0,0,(G6*'01_3月经营总表'!$E$13+H6*'01_3月经营总表'!$E$12+I6*'01_3月经营总表'!$E$15)/J6)</f>
        <v>16142.8571428571</v>
      </c>
      <c r="N6" s="11">
        <f>IF(J6=0,0,(G6*'01_3月经营总表'!$F$13+H6*'01_3月经营总表'!$F$12+I6*'01_3月经营总表'!$F$15)/J6)</f>
        <v>8857.14285714286</v>
      </c>
      <c r="O6" s="11">
        <f t="shared" ref="O6:O28" si="1">M6-N6</f>
        <v>7285.71428571429</v>
      </c>
      <c r="P6" s="11">
        <f t="shared" ref="P6:P28" si="2">J6*O6</f>
        <v>51000</v>
      </c>
      <c r="Q6" s="11">
        <f>IFERROR(VLOOKUP(A6,'02_线索来源分解'!$A$26:$G$200,7,0)*J6/VLOOKUP(A6,'02_线索来源分解'!$A$26:$G$200,3,0),0)</f>
        <v>46953.8461538462</v>
      </c>
      <c r="R6" s="11">
        <f t="shared" ref="R6:R28" si="3">P6-Q6</f>
        <v>4046.15384615384</v>
      </c>
      <c r="S6" s="9" t="s">
        <v>126</v>
      </c>
    </row>
    <row r="7" spans="1:19">
      <c r="A7" s="9" t="s">
        <v>97</v>
      </c>
      <c r="B7" s="9" t="s">
        <v>127</v>
      </c>
      <c r="C7" s="26">
        <v>3</v>
      </c>
      <c r="D7" s="26">
        <v>3</v>
      </c>
      <c r="E7" s="26">
        <v>1</v>
      </c>
      <c r="F7" s="26">
        <v>7</v>
      </c>
      <c r="G7" s="28">
        <v>3</v>
      </c>
      <c r="H7" s="28">
        <v>3</v>
      </c>
      <c r="I7" s="28">
        <v>1</v>
      </c>
      <c r="J7" s="26">
        <f t="shared" si="0"/>
        <v>7</v>
      </c>
      <c r="K7" s="26">
        <f>ROUND(IFERROR(VLOOKUP(A7,'02_线索来源分解'!$A$26:$E$200,5,0)*J7/VLOOKUP(A7,'02_线索来源分解'!$A$26:$E$200,3,0),0),0)</f>
        <v>275</v>
      </c>
      <c r="L7" s="26">
        <f>ROUND(IFERROR(VLOOKUP(A7,'02_线索来源分解'!$A$26:$D$200,4,0)*J7/VLOOKUP(A7,'02_线索来源分解'!$A$26:$D$200,3,0),0),0)</f>
        <v>3</v>
      </c>
      <c r="M7" s="11">
        <f>IF(J7=0,0,(G7*'01_3月经营总表'!$E$13+H7*'01_3月经营总表'!$E$12+I7*'01_3月经营总表'!$E$15)/J7)</f>
        <v>14857.1428571429</v>
      </c>
      <c r="N7" s="11">
        <f>IF(J7=0,0,(G7*'01_3月经营总表'!$F$13+H7*'01_3月经营总表'!$F$12+I7*'01_3月经营总表'!$F$15)/J7)</f>
        <v>8785.71428571429</v>
      </c>
      <c r="O7" s="11">
        <f t="shared" si="1"/>
        <v>6071.42857142857</v>
      </c>
      <c r="P7" s="11">
        <f t="shared" si="2"/>
        <v>42500</v>
      </c>
      <c r="Q7" s="11">
        <f>IFERROR(VLOOKUP(A7,'02_线索来源分解'!$A$26:$G$200,7,0)*J7/VLOOKUP(A7,'02_线索来源分解'!$A$26:$G$200,3,0),0)</f>
        <v>46953.8461538462</v>
      </c>
      <c r="R7" s="11">
        <f t="shared" si="3"/>
        <v>-4453.84615384616</v>
      </c>
      <c r="S7" s="9" t="s">
        <v>126</v>
      </c>
    </row>
    <row r="8" spans="1:19">
      <c r="A8" s="9" t="s">
        <v>97</v>
      </c>
      <c r="B8" s="9" t="s">
        <v>128</v>
      </c>
      <c r="C8" s="26">
        <v>3</v>
      </c>
      <c r="D8" s="26">
        <v>3</v>
      </c>
      <c r="E8" s="26">
        <v>0</v>
      </c>
      <c r="F8" s="26">
        <v>6</v>
      </c>
      <c r="G8" s="28">
        <v>3</v>
      </c>
      <c r="H8" s="28">
        <v>3</v>
      </c>
      <c r="I8" s="28">
        <v>0</v>
      </c>
      <c r="J8" s="26">
        <f t="shared" si="0"/>
        <v>6</v>
      </c>
      <c r="K8" s="26">
        <f>ROUND(IFERROR(VLOOKUP(A8,'02_线索来源分解'!$A$26:$E$200,5,0)*J8/VLOOKUP(A8,'02_线索来源分解'!$A$26:$E$200,3,0),0),0)</f>
        <v>235</v>
      </c>
      <c r="L8" s="26">
        <f>ROUND(IFERROR(VLOOKUP(A8,'02_线索来源分解'!$A$26:$D$200,4,0)*J8/VLOOKUP(A8,'02_线索来源分解'!$A$26:$D$200,3,0),0),0)</f>
        <v>2</v>
      </c>
      <c r="M8" s="11">
        <f>IF(J8=0,0,(G8*'01_3月经营总表'!$E$13+H8*'01_3月经营总表'!$E$12+I8*'01_3月经营总表'!$E$15)/J8)</f>
        <v>15500</v>
      </c>
      <c r="N8" s="11">
        <f>IF(J8=0,0,(G8*'01_3月经营总表'!$F$13+H8*'01_3月经营总表'!$F$12+I8*'01_3月经营总表'!$F$15)/J8)</f>
        <v>8750</v>
      </c>
      <c r="O8" s="11">
        <f t="shared" si="1"/>
        <v>6750</v>
      </c>
      <c r="P8" s="11">
        <f t="shared" si="2"/>
        <v>40500</v>
      </c>
      <c r="Q8" s="11">
        <f>IFERROR(VLOOKUP(A8,'02_线索来源分解'!$A$26:$G$200,7,0)*J8/VLOOKUP(A8,'02_线索来源分解'!$A$26:$G$200,3,0),0)</f>
        <v>40246.1538461538</v>
      </c>
      <c r="R8" s="11">
        <f t="shared" si="3"/>
        <v>253.846153846156</v>
      </c>
      <c r="S8" s="9" t="s">
        <v>126</v>
      </c>
    </row>
    <row r="9" spans="1:19">
      <c r="A9" s="9" t="s">
        <v>97</v>
      </c>
      <c r="B9" s="9" t="s">
        <v>129</v>
      </c>
      <c r="C9" s="26">
        <v>3</v>
      </c>
      <c r="D9" s="26">
        <v>2</v>
      </c>
      <c r="E9" s="26">
        <v>1</v>
      </c>
      <c r="F9" s="26">
        <v>6</v>
      </c>
      <c r="G9" s="28">
        <v>3</v>
      </c>
      <c r="H9" s="28">
        <v>2</v>
      </c>
      <c r="I9" s="28">
        <v>1</v>
      </c>
      <c r="J9" s="26">
        <f t="shared" si="0"/>
        <v>6</v>
      </c>
      <c r="K9" s="26">
        <f>ROUND(IFERROR(VLOOKUP(A9,'02_线索来源分解'!$A$26:$E$200,5,0)*J9/VLOOKUP(A9,'02_线索来源分解'!$A$26:$E$200,3,0),0),0)</f>
        <v>235</v>
      </c>
      <c r="L9" s="26">
        <f>ROUND(IFERROR(VLOOKUP(A9,'02_线索来源分解'!$A$26:$D$200,4,0)*J9/VLOOKUP(A9,'02_线索来源分解'!$A$26:$D$200,3,0),0),0)</f>
        <v>2</v>
      </c>
      <c r="M9" s="11">
        <f>IF(J9=0,0,(G9*'01_3月经营总表'!$E$13+H9*'01_3月经营总表'!$E$12+I9*'01_3月经营总表'!$E$15)/J9)</f>
        <v>15500</v>
      </c>
      <c r="N9" s="11">
        <f>IF(J9=0,0,(G9*'01_3月经营总表'!$F$13+H9*'01_3月经营总表'!$F$12+I9*'01_3月经营总表'!$F$15)/J9)</f>
        <v>8833.33333333333</v>
      </c>
      <c r="O9" s="11">
        <f t="shared" si="1"/>
        <v>6666.66666666667</v>
      </c>
      <c r="P9" s="11">
        <f t="shared" si="2"/>
        <v>40000</v>
      </c>
      <c r="Q9" s="11">
        <f>IFERROR(VLOOKUP(A9,'02_线索来源分解'!$A$26:$G$200,7,0)*J9/VLOOKUP(A9,'02_线索来源分解'!$A$26:$G$200,3,0),0)</f>
        <v>40246.1538461538</v>
      </c>
      <c r="R9" s="11">
        <f t="shared" si="3"/>
        <v>-246.153846153844</v>
      </c>
      <c r="S9" s="9" t="s">
        <v>126</v>
      </c>
    </row>
    <row r="10" spans="1:19">
      <c r="A10" s="9" t="s">
        <v>99</v>
      </c>
      <c r="B10" s="9" t="s">
        <v>130</v>
      </c>
      <c r="C10" s="26">
        <v>4</v>
      </c>
      <c r="D10" s="26">
        <v>2</v>
      </c>
      <c r="E10" s="26">
        <v>1</v>
      </c>
      <c r="F10" s="26">
        <v>7</v>
      </c>
      <c r="G10" s="28">
        <v>4</v>
      </c>
      <c r="H10" s="28">
        <v>2</v>
      </c>
      <c r="I10" s="28">
        <v>1</v>
      </c>
      <c r="J10" s="26">
        <f t="shared" si="0"/>
        <v>7</v>
      </c>
      <c r="K10" s="26">
        <f>ROUND(IFERROR(VLOOKUP(A10,'02_线索来源分解'!$A$26:$E$200,5,0)*J10/VLOOKUP(A10,'02_线索来源分解'!$A$26:$E$200,3,0),0),0)</f>
        <v>275</v>
      </c>
      <c r="L10" s="26">
        <f>ROUND(IFERROR(VLOOKUP(A10,'02_线索来源分解'!$A$26:$D$200,4,0)*J10/VLOOKUP(A10,'02_线索来源分解'!$A$26:$D$200,3,0),0),0)</f>
        <v>3</v>
      </c>
      <c r="M10" s="11">
        <f>IF(J10=0,0,(G10*'01_3月经营总表'!$E$13+H10*'01_3月经营总表'!$E$12+I10*'01_3月经营总表'!$E$15)/J10)</f>
        <v>16142.8571428571</v>
      </c>
      <c r="N10" s="11">
        <f>IF(J10=0,0,(G10*'01_3月经营总表'!$F$13+H10*'01_3月经营总表'!$F$12+I10*'01_3月经营总表'!$F$15)/J10)</f>
        <v>8857.14285714286</v>
      </c>
      <c r="O10" s="11">
        <f t="shared" si="1"/>
        <v>7285.71428571429</v>
      </c>
      <c r="P10" s="11">
        <f t="shared" si="2"/>
        <v>51000</v>
      </c>
      <c r="Q10" s="11">
        <f>IFERROR(VLOOKUP(A10,'02_线索来源分解'!$A$26:$G$200,7,0)*J10/VLOOKUP(A10,'02_线索来源分解'!$A$26:$G$200,3,0),0)</f>
        <v>51450</v>
      </c>
      <c r="R10" s="11">
        <f t="shared" si="3"/>
        <v>-450</v>
      </c>
      <c r="S10" s="9" t="s">
        <v>126</v>
      </c>
    </row>
    <row r="11" spans="1:19">
      <c r="A11" s="9" t="s">
        <v>99</v>
      </c>
      <c r="B11" s="9" t="s">
        <v>131</v>
      </c>
      <c r="C11" s="26">
        <v>3</v>
      </c>
      <c r="D11" s="26">
        <v>3</v>
      </c>
      <c r="E11" s="26">
        <v>1</v>
      </c>
      <c r="F11" s="26">
        <v>7</v>
      </c>
      <c r="G11" s="28">
        <v>3</v>
      </c>
      <c r="H11" s="28">
        <v>3</v>
      </c>
      <c r="I11" s="28">
        <v>1</v>
      </c>
      <c r="J11" s="26">
        <f t="shared" si="0"/>
        <v>7</v>
      </c>
      <c r="K11" s="26">
        <f>ROUND(IFERROR(VLOOKUP(A11,'02_线索来源分解'!$A$26:$E$200,5,0)*J11/VLOOKUP(A11,'02_线索来源分解'!$A$26:$E$200,3,0),0),0)</f>
        <v>275</v>
      </c>
      <c r="L11" s="26">
        <f>ROUND(IFERROR(VLOOKUP(A11,'02_线索来源分解'!$A$26:$D$200,4,0)*J11/VLOOKUP(A11,'02_线索来源分解'!$A$26:$D$200,3,0),0),0)</f>
        <v>3</v>
      </c>
      <c r="M11" s="11">
        <f>IF(J11=0,0,(G11*'01_3月经营总表'!$E$13+H11*'01_3月经营总表'!$E$12+I11*'01_3月经营总表'!$E$15)/J11)</f>
        <v>14857.1428571429</v>
      </c>
      <c r="N11" s="11">
        <f>IF(J11=0,0,(G11*'01_3月经营总表'!$F$13+H11*'01_3月经营总表'!$F$12+I11*'01_3月经营总表'!$F$15)/J11)</f>
        <v>8785.71428571429</v>
      </c>
      <c r="O11" s="11">
        <f t="shared" si="1"/>
        <v>6071.42857142857</v>
      </c>
      <c r="P11" s="11">
        <f t="shared" si="2"/>
        <v>42500</v>
      </c>
      <c r="Q11" s="11">
        <f>IFERROR(VLOOKUP(A11,'02_线索来源分解'!$A$26:$G$200,7,0)*J11/VLOOKUP(A11,'02_线索来源分解'!$A$26:$G$200,3,0),0)</f>
        <v>51450</v>
      </c>
      <c r="R11" s="11">
        <f t="shared" si="3"/>
        <v>-8950.00000000001</v>
      </c>
      <c r="S11" s="9" t="s">
        <v>126</v>
      </c>
    </row>
    <row r="12" spans="1:19">
      <c r="A12" s="9" t="s">
        <v>99</v>
      </c>
      <c r="B12" s="9" t="s">
        <v>132</v>
      </c>
      <c r="C12" s="26">
        <v>4</v>
      </c>
      <c r="D12" s="26">
        <v>2</v>
      </c>
      <c r="E12" s="26">
        <v>1</v>
      </c>
      <c r="F12" s="26">
        <v>7</v>
      </c>
      <c r="G12" s="28">
        <v>4</v>
      </c>
      <c r="H12" s="28">
        <v>2</v>
      </c>
      <c r="I12" s="28">
        <v>1</v>
      </c>
      <c r="J12" s="26">
        <f t="shared" si="0"/>
        <v>7</v>
      </c>
      <c r="K12" s="26">
        <f>ROUND(IFERROR(VLOOKUP(A12,'02_线索来源分解'!$A$26:$E$200,5,0)*J12/VLOOKUP(A12,'02_线索来源分解'!$A$26:$E$200,3,0),0),0)</f>
        <v>275</v>
      </c>
      <c r="L12" s="26">
        <f>ROUND(IFERROR(VLOOKUP(A12,'02_线索来源分解'!$A$26:$D$200,4,0)*J12/VLOOKUP(A12,'02_线索来源分解'!$A$26:$D$200,3,0),0),0)</f>
        <v>3</v>
      </c>
      <c r="M12" s="11">
        <f>IF(J12=0,0,(G12*'01_3月经营总表'!$E$13+H12*'01_3月经营总表'!$E$12+I12*'01_3月经营总表'!$E$15)/J12)</f>
        <v>16142.8571428571</v>
      </c>
      <c r="N12" s="11">
        <f>IF(J12=0,0,(G12*'01_3月经营总表'!$F$13+H12*'01_3月经营总表'!$F$12+I12*'01_3月经营总表'!$F$15)/J12)</f>
        <v>8857.14285714286</v>
      </c>
      <c r="O12" s="11">
        <f t="shared" si="1"/>
        <v>7285.71428571429</v>
      </c>
      <c r="P12" s="11">
        <f t="shared" si="2"/>
        <v>51000</v>
      </c>
      <c r="Q12" s="11">
        <f>IFERROR(VLOOKUP(A12,'02_线索来源分解'!$A$26:$G$200,7,0)*J12/VLOOKUP(A12,'02_线索来源分解'!$A$26:$G$200,3,0),0)</f>
        <v>51450</v>
      </c>
      <c r="R12" s="11">
        <f t="shared" si="3"/>
        <v>-450</v>
      </c>
      <c r="S12" s="9" t="s">
        <v>126</v>
      </c>
    </row>
    <row r="13" spans="1:19">
      <c r="A13" s="9" t="s">
        <v>99</v>
      </c>
      <c r="B13" s="9" t="s">
        <v>133</v>
      </c>
      <c r="C13" s="26">
        <v>3</v>
      </c>
      <c r="D13" s="26">
        <v>3</v>
      </c>
      <c r="E13" s="26">
        <v>0</v>
      </c>
      <c r="F13" s="26">
        <v>6</v>
      </c>
      <c r="G13" s="28">
        <v>3</v>
      </c>
      <c r="H13" s="28">
        <v>3</v>
      </c>
      <c r="I13" s="28">
        <v>0</v>
      </c>
      <c r="J13" s="26">
        <f t="shared" si="0"/>
        <v>6</v>
      </c>
      <c r="K13" s="26">
        <f>ROUND(IFERROR(VLOOKUP(A13,'02_线索来源分解'!$A$26:$E$200,5,0)*J13/VLOOKUP(A13,'02_线索来源分解'!$A$26:$E$200,3,0),0),0)</f>
        <v>235</v>
      </c>
      <c r="L13" s="26">
        <f>ROUND(IFERROR(VLOOKUP(A13,'02_线索来源分解'!$A$26:$D$200,4,0)*J13/VLOOKUP(A13,'02_线索来源分解'!$A$26:$D$200,3,0),0),0)</f>
        <v>2</v>
      </c>
      <c r="M13" s="11">
        <f>IF(J13=0,0,(G13*'01_3月经营总表'!$E$13+H13*'01_3月经营总表'!$E$12+I13*'01_3月经营总表'!$E$15)/J13)</f>
        <v>15500</v>
      </c>
      <c r="N13" s="11">
        <f>IF(J13=0,0,(G13*'01_3月经营总表'!$F$13+H13*'01_3月经营总表'!$F$12+I13*'01_3月经营总表'!$F$15)/J13)</f>
        <v>8750</v>
      </c>
      <c r="O13" s="11">
        <f t="shared" si="1"/>
        <v>6750</v>
      </c>
      <c r="P13" s="11">
        <f t="shared" si="2"/>
        <v>40500</v>
      </c>
      <c r="Q13" s="11">
        <f>IFERROR(VLOOKUP(A13,'02_线索来源分解'!$A$26:$G$200,7,0)*J13/VLOOKUP(A13,'02_线索来源分解'!$A$26:$G$200,3,0),0)</f>
        <v>44100</v>
      </c>
      <c r="R13" s="11">
        <f t="shared" si="3"/>
        <v>-3600</v>
      </c>
      <c r="S13" s="9" t="s">
        <v>126</v>
      </c>
    </row>
    <row r="14" spans="1:19">
      <c r="A14" s="9" t="s">
        <v>99</v>
      </c>
      <c r="B14" s="9" t="s">
        <v>134</v>
      </c>
      <c r="C14" s="26">
        <v>3</v>
      </c>
      <c r="D14" s="26">
        <v>2</v>
      </c>
      <c r="E14" s="26">
        <v>0</v>
      </c>
      <c r="F14" s="26">
        <v>5</v>
      </c>
      <c r="G14" s="28">
        <v>3</v>
      </c>
      <c r="H14" s="28">
        <v>2</v>
      </c>
      <c r="I14" s="28">
        <v>0</v>
      </c>
      <c r="J14" s="26">
        <f t="shared" si="0"/>
        <v>5</v>
      </c>
      <c r="K14" s="26">
        <f>ROUND(IFERROR(VLOOKUP(A14,'02_线索来源分解'!$A$26:$E$200,5,0)*J14/VLOOKUP(A14,'02_线索来源分解'!$A$26:$E$200,3,0),0),0)</f>
        <v>196</v>
      </c>
      <c r="L14" s="26">
        <f>ROUND(IFERROR(VLOOKUP(A14,'02_线索来源分解'!$A$26:$D$200,4,0)*J14/VLOOKUP(A14,'02_线索来源分解'!$A$26:$D$200,3,0),0),0)</f>
        <v>2</v>
      </c>
      <c r="M14" s="11">
        <f>IF(J14=0,0,(G14*'01_3月经营总表'!$E$13+H14*'01_3月经营总表'!$E$12+I14*'01_3月经营总表'!$E$15)/J14)</f>
        <v>16400</v>
      </c>
      <c r="N14" s="11">
        <f>IF(J14=0,0,(G14*'01_3月经营总表'!$F$13+H14*'01_3月经营总表'!$F$12+I14*'01_3月经营总表'!$F$15)/J14)</f>
        <v>8800</v>
      </c>
      <c r="O14" s="11">
        <f t="shared" si="1"/>
        <v>7600</v>
      </c>
      <c r="P14" s="11">
        <f t="shared" si="2"/>
        <v>38000</v>
      </c>
      <c r="Q14" s="11">
        <f>IFERROR(VLOOKUP(A14,'02_线索来源分解'!$A$26:$G$200,7,0)*J14/VLOOKUP(A14,'02_线索来源分解'!$A$26:$G$200,3,0),0)</f>
        <v>36750</v>
      </c>
      <c r="R14" s="11">
        <f t="shared" si="3"/>
        <v>1250</v>
      </c>
      <c r="S14" s="9" t="s">
        <v>126</v>
      </c>
    </row>
    <row r="15" spans="1:19">
      <c r="A15" s="9" t="s">
        <v>100</v>
      </c>
      <c r="B15" s="9" t="s">
        <v>135</v>
      </c>
      <c r="C15" s="26">
        <v>5</v>
      </c>
      <c r="D15" s="26">
        <v>4</v>
      </c>
      <c r="E15" s="26">
        <v>1</v>
      </c>
      <c r="F15" s="26">
        <v>10</v>
      </c>
      <c r="G15" s="28">
        <v>5</v>
      </c>
      <c r="H15" s="28">
        <v>4</v>
      </c>
      <c r="I15" s="28">
        <v>1</v>
      </c>
      <c r="J15" s="26">
        <f t="shared" si="0"/>
        <v>10</v>
      </c>
      <c r="K15" s="26">
        <f>ROUND(IFERROR(VLOOKUP(A15,'02_线索来源分解'!$A$26:$E$200,5,0)*J15/VLOOKUP(A15,'02_线索来源分解'!$A$26:$E$200,3,0),0),0)</f>
        <v>392</v>
      </c>
      <c r="L15" s="26">
        <f>ROUND(IFERROR(VLOOKUP(A15,'02_线索来源分解'!$A$26:$D$200,4,0)*J15/VLOOKUP(A15,'02_线索来源分解'!$A$26:$D$200,3,0),0),0)</f>
        <v>4</v>
      </c>
      <c r="M15" s="11">
        <f>IF(J15=0,0,(G15*'01_3月经营总表'!$E$13+H15*'01_3月经营总表'!$E$12+I15*'01_3月经营总表'!$E$15)/J15)</f>
        <v>15500</v>
      </c>
      <c r="N15" s="11">
        <f>IF(J15=0,0,(G15*'01_3月经营总表'!$F$13+H15*'01_3月经营总表'!$F$12+I15*'01_3月经营总表'!$F$15)/J15)</f>
        <v>8800</v>
      </c>
      <c r="O15" s="11">
        <f t="shared" si="1"/>
        <v>6700</v>
      </c>
      <c r="P15" s="11">
        <f t="shared" si="2"/>
        <v>67000</v>
      </c>
      <c r="Q15" s="11">
        <f>IFERROR(VLOOKUP(A15,'02_线索来源分解'!$A$26:$G$200,7,0)*J15/VLOOKUP(A15,'02_线索来源分解'!$A$26:$G$200,3,0),0)</f>
        <v>161280</v>
      </c>
      <c r="R15" s="11">
        <f t="shared" si="3"/>
        <v>-94280</v>
      </c>
      <c r="S15" s="9" t="s">
        <v>126</v>
      </c>
    </row>
    <row r="16" spans="1:19">
      <c r="A16" s="9" t="s">
        <v>100</v>
      </c>
      <c r="B16" s="9" t="s">
        <v>136</v>
      </c>
      <c r="C16" s="26">
        <v>5</v>
      </c>
      <c r="D16" s="26">
        <v>4</v>
      </c>
      <c r="E16" s="26">
        <v>1</v>
      </c>
      <c r="F16" s="26">
        <v>10</v>
      </c>
      <c r="G16" s="28">
        <v>5</v>
      </c>
      <c r="H16" s="28">
        <v>4</v>
      </c>
      <c r="I16" s="28">
        <v>1</v>
      </c>
      <c r="J16" s="26">
        <f t="shared" si="0"/>
        <v>10</v>
      </c>
      <c r="K16" s="26">
        <f>ROUND(IFERROR(VLOOKUP(A16,'02_线索来源分解'!$A$26:$E$200,5,0)*J16/VLOOKUP(A16,'02_线索来源分解'!$A$26:$E$200,3,0),0),0)</f>
        <v>392</v>
      </c>
      <c r="L16" s="26">
        <f>ROUND(IFERROR(VLOOKUP(A16,'02_线索来源分解'!$A$26:$D$200,4,0)*J16/VLOOKUP(A16,'02_线索来源分解'!$A$26:$D$200,3,0),0),0)</f>
        <v>4</v>
      </c>
      <c r="M16" s="11">
        <f>IF(J16=0,0,(G16*'01_3月经营总表'!$E$13+H16*'01_3月经营总表'!$E$12+I16*'01_3月经营总表'!$E$15)/J16)</f>
        <v>15500</v>
      </c>
      <c r="N16" s="11">
        <f>IF(J16=0,0,(G16*'01_3月经营总表'!$F$13+H16*'01_3月经营总表'!$F$12+I16*'01_3月经营总表'!$F$15)/J16)</f>
        <v>8800</v>
      </c>
      <c r="O16" s="11">
        <f t="shared" si="1"/>
        <v>6700</v>
      </c>
      <c r="P16" s="11">
        <f t="shared" si="2"/>
        <v>67000</v>
      </c>
      <c r="Q16" s="11">
        <f>IFERROR(VLOOKUP(A16,'02_线索来源分解'!$A$26:$G$200,7,0)*J16/VLOOKUP(A16,'02_线索来源分解'!$A$26:$G$200,3,0),0)</f>
        <v>161280</v>
      </c>
      <c r="R16" s="11">
        <f t="shared" si="3"/>
        <v>-94280</v>
      </c>
      <c r="S16" s="9" t="s">
        <v>126</v>
      </c>
    </row>
    <row r="17" spans="1:19">
      <c r="A17" s="9" t="s">
        <v>100</v>
      </c>
      <c r="B17" s="9" t="s">
        <v>137</v>
      </c>
      <c r="C17" s="26">
        <v>5</v>
      </c>
      <c r="D17" s="26">
        <v>4</v>
      </c>
      <c r="E17" s="26">
        <v>1</v>
      </c>
      <c r="F17" s="26">
        <v>10</v>
      </c>
      <c r="G17" s="28">
        <v>5</v>
      </c>
      <c r="H17" s="28">
        <v>4</v>
      </c>
      <c r="I17" s="28">
        <v>1</v>
      </c>
      <c r="J17" s="26">
        <f t="shared" si="0"/>
        <v>10</v>
      </c>
      <c r="K17" s="26">
        <f>ROUND(IFERROR(VLOOKUP(A17,'02_线索来源分解'!$A$26:$E$200,5,0)*J17/VLOOKUP(A17,'02_线索来源分解'!$A$26:$E$200,3,0),0),0)</f>
        <v>392</v>
      </c>
      <c r="L17" s="26">
        <f>ROUND(IFERROR(VLOOKUP(A17,'02_线索来源分解'!$A$26:$D$200,4,0)*J17/VLOOKUP(A17,'02_线索来源分解'!$A$26:$D$200,3,0),0),0)</f>
        <v>4</v>
      </c>
      <c r="M17" s="11">
        <f>IF(J17=0,0,(G17*'01_3月经营总表'!$E$13+H17*'01_3月经营总表'!$E$12+I17*'01_3月经营总表'!$E$15)/J17)</f>
        <v>15500</v>
      </c>
      <c r="N17" s="11">
        <f>IF(J17=0,0,(G17*'01_3月经营总表'!$F$13+H17*'01_3月经营总表'!$F$12+I17*'01_3月经营总表'!$F$15)/J17)</f>
        <v>8800</v>
      </c>
      <c r="O17" s="11">
        <f t="shared" si="1"/>
        <v>6700</v>
      </c>
      <c r="P17" s="11">
        <f t="shared" si="2"/>
        <v>67000</v>
      </c>
      <c r="Q17" s="11">
        <f>IFERROR(VLOOKUP(A17,'02_线索来源分解'!$A$26:$G$200,7,0)*J17/VLOOKUP(A17,'02_线索来源分解'!$A$26:$G$200,3,0),0)</f>
        <v>161280</v>
      </c>
      <c r="R17" s="11">
        <f t="shared" si="3"/>
        <v>-94280</v>
      </c>
      <c r="S17" s="9" t="s">
        <v>126</v>
      </c>
    </row>
    <row r="18" spans="1:19">
      <c r="A18" s="9" t="s">
        <v>100</v>
      </c>
      <c r="B18" s="9" t="s">
        <v>138</v>
      </c>
      <c r="C18" s="26">
        <v>5</v>
      </c>
      <c r="D18" s="26">
        <v>4</v>
      </c>
      <c r="E18" s="26">
        <v>1</v>
      </c>
      <c r="F18" s="26">
        <v>10</v>
      </c>
      <c r="G18" s="28">
        <v>5</v>
      </c>
      <c r="H18" s="28">
        <v>4</v>
      </c>
      <c r="I18" s="28">
        <v>1</v>
      </c>
      <c r="J18" s="26">
        <f t="shared" si="0"/>
        <v>10</v>
      </c>
      <c r="K18" s="26">
        <f>ROUND(IFERROR(VLOOKUP(A18,'02_线索来源分解'!$A$26:$E$200,5,0)*J18/VLOOKUP(A18,'02_线索来源分解'!$A$26:$E$200,3,0),0),0)</f>
        <v>392</v>
      </c>
      <c r="L18" s="26">
        <f>ROUND(IFERROR(VLOOKUP(A18,'02_线索来源分解'!$A$26:$D$200,4,0)*J18/VLOOKUP(A18,'02_线索来源分解'!$A$26:$D$200,3,0),0),0)</f>
        <v>4</v>
      </c>
      <c r="M18" s="11">
        <f>IF(J18=0,0,(G18*'01_3月经营总表'!$E$13+H18*'01_3月经营总表'!$E$12+I18*'01_3月经营总表'!$E$15)/J18)</f>
        <v>15500</v>
      </c>
      <c r="N18" s="11">
        <f>IF(J18=0,0,(G18*'01_3月经营总表'!$F$13+H18*'01_3月经营总表'!$F$12+I18*'01_3月经营总表'!$F$15)/J18)</f>
        <v>8800</v>
      </c>
      <c r="O18" s="11">
        <f t="shared" si="1"/>
        <v>6700</v>
      </c>
      <c r="P18" s="11">
        <f t="shared" si="2"/>
        <v>67000</v>
      </c>
      <c r="Q18" s="11">
        <f>IFERROR(VLOOKUP(A18,'02_线索来源分解'!$A$26:$G$200,7,0)*J18/VLOOKUP(A18,'02_线索来源分解'!$A$26:$G$200,3,0),0)</f>
        <v>161280</v>
      </c>
      <c r="R18" s="11">
        <f t="shared" si="3"/>
        <v>-94280</v>
      </c>
      <c r="S18" s="9" t="s">
        <v>126</v>
      </c>
    </row>
    <row r="19" spans="1:19">
      <c r="A19" s="9" t="s">
        <v>100</v>
      </c>
      <c r="B19" s="9" t="s">
        <v>139</v>
      </c>
      <c r="C19" s="26">
        <v>5</v>
      </c>
      <c r="D19" s="26">
        <v>4</v>
      </c>
      <c r="E19" s="26">
        <v>1</v>
      </c>
      <c r="F19" s="26">
        <v>10</v>
      </c>
      <c r="G19" s="28">
        <v>5</v>
      </c>
      <c r="H19" s="28">
        <v>4</v>
      </c>
      <c r="I19" s="28">
        <v>1</v>
      </c>
      <c r="J19" s="26">
        <f t="shared" si="0"/>
        <v>10</v>
      </c>
      <c r="K19" s="26">
        <f>ROUND(IFERROR(VLOOKUP(A19,'02_线索来源分解'!$A$26:$E$200,5,0)*J19/VLOOKUP(A19,'02_线索来源分解'!$A$26:$E$200,3,0),0),0)</f>
        <v>392</v>
      </c>
      <c r="L19" s="26">
        <f>ROUND(IFERROR(VLOOKUP(A19,'02_线索来源分解'!$A$26:$D$200,4,0)*J19/VLOOKUP(A19,'02_线索来源分解'!$A$26:$D$200,3,0),0),0)</f>
        <v>4</v>
      </c>
      <c r="M19" s="11">
        <f>IF(J19=0,0,(G19*'01_3月经营总表'!$E$13+H19*'01_3月经营总表'!$E$12+I19*'01_3月经营总表'!$E$15)/J19)</f>
        <v>15500</v>
      </c>
      <c r="N19" s="11">
        <f>IF(J19=0,0,(G19*'01_3月经营总表'!$F$13+H19*'01_3月经营总表'!$F$12+I19*'01_3月经营总表'!$F$15)/J19)</f>
        <v>8800</v>
      </c>
      <c r="O19" s="11">
        <f t="shared" si="1"/>
        <v>6700</v>
      </c>
      <c r="P19" s="11">
        <f t="shared" si="2"/>
        <v>67000</v>
      </c>
      <c r="Q19" s="11">
        <f>IFERROR(VLOOKUP(A19,'02_线索来源分解'!$A$26:$G$200,7,0)*J19/VLOOKUP(A19,'02_线索来源分解'!$A$26:$G$200,3,0),0)</f>
        <v>161280</v>
      </c>
      <c r="R19" s="11">
        <f t="shared" si="3"/>
        <v>-94280</v>
      </c>
      <c r="S19" s="9" t="s">
        <v>126</v>
      </c>
    </row>
    <row r="20" ht="31" customHeight="1" spans="1:19">
      <c r="A20" s="9" t="s">
        <v>101</v>
      </c>
      <c r="B20" s="9" t="s">
        <v>140</v>
      </c>
      <c r="C20" s="26">
        <v>4</v>
      </c>
      <c r="D20" s="26">
        <v>3</v>
      </c>
      <c r="E20" s="26">
        <v>1</v>
      </c>
      <c r="F20" s="26">
        <v>8</v>
      </c>
      <c r="G20" s="28">
        <v>4</v>
      </c>
      <c r="H20" s="28">
        <v>3</v>
      </c>
      <c r="I20" s="28">
        <v>1</v>
      </c>
      <c r="J20" s="26">
        <f t="shared" si="0"/>
        <v>8</v>
      </c>
      <c r="K20" s="26">
        <f>ROUND(IFERROR(VLOOKUP(A20,'02_线索来源分解'!$A$26:$E$200,5,0)*J20/VLOOKUP(A20,'02_线索来源分解'!$A$26:$E$200,3,0),0),0)</f>
        <v>314</v>
      </c>
      <c r="L20" s="26">
        <f>ROUND(IFERROR(VLOOKUP(A20,'02_线索来源分解'!$A$26:$D$200,4,0)*J20/VLOOKUP(A20,'02_线索来源分解'!$A$26:$D$200,3,0),0),0)</f>
        <v>3</v>
      </c>
      <c r="M20" s="11">
        <f>IF(J20=0,0,(G20*'01_3月经营总表'!$E$13+H20*'01_3月经营总表'!$E$12+I20*'01_3月经营总表'!$E$15)/J20)</f>
        <v>15500</v>
      </c>
      <c r="N20" s="11">
        <f>IF(J20=0,0,(G20*'01_3月经营总表'!$F$13+H20*'01_3月经营总表'!$F$12+I20*'01_3月经营总表'!$F$15)/J20)</f>
        <v>8812.5</v>
      </c>
      <c r="O20" s="11">
        <f t="shared" si="1"/>
        <v>6687.5</v>
      </c>
      <c r="P20" s="11">
        <f t="shared" si="2"/>
        <v>53500</v>
      </c>
      <c r="Q20" s="11">
        <f>IFERROR(VLOOKUP(A20,'02_线索来源分解'!$A$26:$G$200,7,0)*J20/VLOOKUP(A20,'02_线索来源分解'!$A$26:$G$200,3,0),0)</f>
        <v>60933.3333333333</v>
      </c>
      <c r="R20" s="11">
        <f t="shared" si="3"/>
        <v>-7433.33333333334</v>
      </c>
      <c r="S20" s="9" t="s">
        <v>126</v>
      </c>
    </row>
    <row r="21" ht="31" customHeight="1" spans="1:19">
      <c r="A21" s="9" t="s">
        <v>101</v>
      </c>
      <c r="B21" s="9" t="s">
        <v>141</v>
      </c>
      <c r="C21" s="26">
        <v>4</v>
      </c>
      <c r="D21" s="26">
        <v>4</v>
      </c>
      <c r="E21" s="26">
        <v>0</v>
      </c>
      <c r="F21" s="26">
        <v>8</v>
      </c>
      <c r="G21" s="28">
        <v>4</v>
      </c>
      <c r="H21" s="28">
        <v>4</v>
      </c>
      <c r="I21" s="28">
        <v>0</v>
      </c>
      <c r="J21" s="26">
        <f t="shared" si="0"/>
        <v>8</v>
      </c>
      <c r="K21" s="26">
        <f>ROUND(IFERROR(VLOOKUP(A21,'02_线索来源分解'!$A$26:$E$200,5,0)*J21/VLOOKUP(A21,'02_线索来源分解'!$A$26:$E$200,3,0),0),0)</f>
        <v>314</v>
      </c>
      <c r="L21" s="26">
        <f>ROUND(IFERROR(VLOOKUP(A21,'02_线索来源分解'!$A$26:$D$200,4,0)*J21/VLOOKUP(A21,'02_线索来源分解'!$A$26:$D$200,3,0),0),0)</f>
        <v>3</v>
      </c>
      <c r="M21" s="11">
        <f>IF(J21=0,0,(G21*'01_3月经营总表'!$E$13+H21*'01_3月经营总表'!$E$12+I21*'01_3月经营总表'!$E$15)/J21)</f>
        <v>15500</v>
      </c>
      <c r="N21" s="11">
        <f>IF(J21=0,0,(G21*'01_3月经营总表'!$F$13+H21*'01_3月经营总表'!$F$12+I21*'01_3月经营总表'!$F$15)/J21)</f>
        <v>8750</v>
      </c>
      <c r="O21" s="11">
        <f t="shared" si="1"/>
        <v>6750</v>
      </c>
      <c r="P21" s="11">
        <f t="shared" si="2"/>
        <v>54000</v>
      </c>
      <c r="Q21" s="11">
        <f>IFERROR(VLOOKUP(A21,'02_线索来源分解'!$A$26:$G$200,7,0)*J21/VLOOKUP(A21,'02_线索来源分解'!$A$26:$G$200,3,0),0)</f>
        <v>60933.3333333333</v>
      </c>
      <c r="R21" s="11">
        <f t="shared" si="3"/>
        <v>-6933.33333333334</v>
      </c>
      <c r="S21" s="9" t="s">
        <v>126</v>
      </c>
    </row>
    <row r="22" ht="31" customHeight="1" spans="1:19">
      <c r="A22" s="9" t="s">
        <v>101</v>
      </c>
      <c r="B22" s="9" t="s">
        <v>142</v>
      </c>
      <c r="C22" s="26">
        <v>4</v>
      </c>
      <c r="D22" s="26">
        <v>3</v>
      </c>
      <c r="E22" s="26">
        <v>1</v>
      </c>
      <c r="F22" s="26">
        <v>8</v>
      </c>
      <c r="G22" s="28">
        <v>4</v>
      </c>
      <c r="H22" s="28">
        <v>3</v>
      </c>
      <c r="I22" s="28">
        <v>1</v>
      </c>
      <c r="J22" s="26">
        <f t="shared" si="0"/>
        <v>8</v>
      </c>
      <c r="K22" s="26">
        <f>ROUND(IFERROR(VLOOKUP(A22,'02_线索来源分解'!$A$26:$E$200,5,0)*J22/VLOOKUP(A22,'02_线索来源分解'!$A$26:$E$200,3,0),0),0)</f>
        <v>314</v>
      </c>
      <c r="L22" s="26">
        <f>ROUND(IFERROR(VLOOKUP(A22,'02_线索来源分解'!$A$26:$D$200,4,0)*J22/VLOOKUP(A22,'02_线索来源分解'!$A$26:$D$200,3,0),0),0)</f>
        <v>3</v>
      </c>
      <c r="M22" s="11">
        <f>IF(J22=0,0,(G22*'01_3月经营总表'!$E$13+H22*'01_3月经营总表'!$E$12+I22*'01_3月经营总表'!$E$15)/J22)</f>
        <v>15500</v>
      </c>
      <c r="N22" s="11">
        <f>IF(J22=0,0,(G22*'01_3月经营总表'!$F$13+H22*'01_3月经营总表'!$F$12+I22*'01_3月经营总表'!$F$15)/J22)</f>
        <v>8812.5</v>
      </c>
      <c r="O22" s="11">
        <f t="shared" si="1"/>
        <v>6687.5</v>
      </c>
      <c r="P22" s="11">
        <f t="shared" si="2"/>
        <v>53500</v>
      </c>
      <c r="Q22" s="11">
        <f>IFERROR(VLOOKUP(A22,'02_线索来源分解'!$A$26:$G$200,7,0)*J22/VLOOKUP(A22,'02_线索来源分解'!$A$26:$G$200,3,0),0)</f>
        <v>60933.3333333333</v>
      </c>
      <c r="R22" s="11">
        <f t="shared" si="3"/>
        <v>-7433.33333333334</v>
      </c>
      <c r="S22" s="9" t="s">
        <v>126</v>
      </c>
    </row>
    <row r="23" spans="1:19">
      <c r="A23" s="9" t="s">
        <v>102</v>
      </c>
      <c r="B23" s="9" t="s">
        <v>143</v>
      </c>
      <c r="C23" s="26">
        <v>1</v>
      </c>
      <c r="D23" s="26">
        <v>1</v>
      </c>
      <c r="E23" s="26">
        <v>1</v>
      </c>
      <c r="F23" s="26">
        <v>3</v>
      </c>
      <c r="G23" s="28">
        <v>1</v>
      </c>
      <c r="H23" s="28">
        <v>1</v>
      </c>
      <c r="I23" s="28">
        <v>1</v>
      </c>
      <c r="J23" s="26">
        <f t="shared" si="0"/>
        <v>3</v>
      </c>
      <c r="K23" s="26">
        <f>ROUND(IFERROR(VLOOKUP(A23,'02_线索来源分解'!$A$26:$E$200,5,0)*J23/VLOOKUP(A23,'02_线索来源分解'!$A$26:$E$200,3,0),0),0)</f>
        <v>118</v>
      </c>
      <c r="L23" s="26">
        <f>ROUND(IFERROR(VLOOKUP(A23,'02_线索来源分解'!$A$26:$D$200,4,0)*J23/VLOOKUP(A23,'02_线索来源分解'!$A$26:$D$200,3,0),0),0)</f>
        <v>1</v>
      </c>
      <c r="M23" s="11">
        <f>IF(J23=0,0,(G23*'01_3月经营总表'!$E$13+H23*'01_3月经营总表'!$E$12+I23*'01_3月经营总表'!$E$15)/J23)</f>
        <v>14000</v>
      </c>
      <c r="N23" s="11">
        <f>IF(J23=0,0,(G23*'01_3月经营总表'!$F$13+H23*'01_3月经营总表'!$F$12+I23*'01_3月经营总表'!$F$15)/J23)</f>
        <v>8833.33333333333</v>
      </c>
      <c r="O23" s="11">
        <f t="shared" si="1"/>
        <v>5166.66666666667</v>
      </c>
      <c r="P23" s="11">
        <f t="shared" si="2"/>
        <v>15500</v>
      </c>
      <c r="Q23" s="11">
        <f>IFERROR(VLOOKUP(A23,'02_线索来源分解'!$A$26:$G$200,7,0)*J23/VLOOKUP(A23,'02_线索来源分解'!$A$26:$G$200,3,0),0)</f>
        <v>25000</v>
      </c>
      <c r="R23" s="11">
        <f t="shared" si="3"/>
        <v>-9500</v>
      </c>
      <c r="S23" s="9" t="s">
        <v>126</v>
      </c>
    </row>
    <row r="24" spans="1:19">
      <c r="A24" s="9" t="s">
        <v>102</v>
      </c>
      <c r="B24" s="9" t="s">
        <v>144</v>
      </c>
      <c r="C24" s="26">
        <v>1</v>
      </c>
      <c r="D24" s="26">
        <v>1</v>
      </c>
      <c r="E24" s="26">
        <v>1</v>
      </c>
      <c r="F24" s="26">
        <v>3</v>
      </c>
      <c r="G24" s="28">
        <v>1</v>
      </c>
      <c r="H24" s="28">
        <v>1</v>
      </c>
      <c r="I24" s="28">
        <v>1</v>
      </c>
      <c r="J24" s="26">
        <f t="shared" si="0"/>
        <v>3</v>
      </c>
      <c r="K24" s="26">
        <f>ROUND(IFERROR(VLOOKUP(A24,'02_线索来源分解'!$A$26:$E$200,5,0)*J24/VLOOKUP(A24,'02_线索来源分解'!$A$26:$E$200,3,0),0),0)</f>
        <v>118</v>
      </c>
      <c r="L24" s="26">
        <f>ROUND(IFERROR(VLOOKUP(A24,'02_线索来源分解'!$A$26:$D$200,4,0)*J24/VLOOKUP(A24,'02_线索来源分解'!$A$26:$D$200,3,0),0),0)</f>
        <v>1</v>
      </c>
      <c r="M24" s="11">
        <f>IF(J24=0,0,(G24*'01_3月经营总表'!$E$13+H24*'01_3月经营总表'!$E$12+I24*'01_3月经营总表'!$E$15)/J24)</f>
        <v>14000</v>
      </c>
      <c r="N24" s="11">
        <f>IF(J24=0,0,(G24*'01_3月经营总表'!$F$13+H24*'01_3月经营总表'!$F$12+I24*'01_3月经营总表'!$F$15)/J24)</f>
        <v>8833.33333333333</v>
      </c>
      <c r="O24" s="11">
        <f t="shared" si="1"/>
        <v>5166.66666666667</v>
      </c>
      <c r="P24" s="11">
        <f t="shared" si="2"/>
        <v>15500</v>
      </c>
      <c r="Q24" s="11">
        <f>IFERROR(VLOOKUP(A24,'02_线索来源分解'!$A$26:$G$200,7,0)*J24/VLOOKUP(A24,'02_线索来源分解'!$A$26:$G$200,3,0),0)</f>
        <v>25000</v>
      </c>
      <c r="R24" s="11">
        <f t="shared" si="3"/>
        <v>-9500</v>
      </c>
      <c r="S24" s="9" t="s">
        <v>126</v>
      </c>
    </row>
    <row r="25" spans="1:19">
      <c r="A25" s="9" t="s">
        <v>102</v>
      </c>
      <c r="B25" s="9" t="s">
        <v>145</v>
      </c>
      <c r="C25" s="26">
        <v>1</v>
      </c>
      <c r="D25" s="26">
        <v>1</v>
      </c>
      <c r="E25" s="26">
        <v>0</v>
      </c>
      <c r="F25" s="26">
        <v>2</v>
      </c>
      <c r="G25" s="28">
        <v>1</v>
      </c>
      <c r="H25" s="28">
        <v>1</v>
      </c>
      <c r="I25" s="28">
        <v>0</v>
      </c>
      <c r="J25" s="26">
        <f t="shared" si="0"/>
        <v>2</v>
      </c>
      <c r="K25" s="26">
        <f>ROUND(IFERROR(VLOOKUP(A25,'02_线索来源分解'!$A$26:$E$200,5,0)*J25/VLOOKUP(A25,'02_线索来源分解'!$A$26:$E$200,3,0),0),0)</f>
        <v>79</v>
      </c>
      <c r="L25" s="26">
        <f>ROUND(IFERROR(VLOOKUP(A25,'02_线索来源分解'!$A$26:$D$200,4,0)*J25/VLOOKUP(A25,'02_线索来源分解'!$A$26:$D$200,3,0),0),0)</f>
        <v>1</v>
      </c>
      <c r="M25" s="11">
        <f>IF(J25=0,0,(G25*'01_3月经营总表'!$E$13+H25*'01_3月经营总表'!$E$12+I25*'01_3月经营总表'!$E$15)/J25)</f>
        <v>15500</v>
      </c>
      <c r="N25" s="11">
        <f>IF(J25=0,0,(G25*'01_3月经营总表'!$F$13+H25*'01_3月经营总表'!$F$12+I25*'01_3月经营总表'!$F$15)/J25)</f>
        <v>8750</v>
      </c>
      <c r="O25" s="11">
        <f t="shared" si="1"/>
        <v>6750</v>
      </c>
      <c r="P25" s="11">
        <f t="shared" si="2"/>
        <v>13500</v>
      </c>
      <c r="Q25" s="11">
        <f>IFERROR(VLOOKUP(A25,'02_线索来源分解'!$A$26:$G$200,7,0)*J25/VLOOKUP(A25,'02_线索来源分解'!$A$26:$G$200,3,0),0)</f>
        <v>16666.6666666667</v>
      </c>
      <c r="R25" s="11">
        <f t="shared" si="3"/>
        <v>-3166.66666666667</v>
      </c>
      <c r="S25" s="9" t="s">
        <v>126</v>
      </c>
    </row>
    <row r="26" spans="1:19">
      <c r="A26" s="9" t="s">
        <v>102</v>
      </c>
      <c r="B26" s="9" t="s">
        <v>146</v>
      </c>
      <c r="C26" s="26">
        <v>1</v>
      </c>
      <c r="D26" s="26">
        <v>1</v>
      </c>
      <c r="E26" s="26">
        <v>0</v>
      </c>
      <c r="F26" s="26">
        <v>2</v>
      </c>
      <c r="G26" s="28">
        <v>1</v>
      </c>
      <c r="H26" s="28">
        <v>1</v>
      </c>
      <c r="I26" s="28">
        <v>0</v>
      </c>
      <c r="J26" s="26">
        <f t="shared" si="0"/>
        <v>2</v>
      </c>
      <c r="K26" s="26">
        <f>ROUND(IFERROR(VLOOKUP(A26,'02_线索来源分解'!$A$26:$E$200,5,0)*J26/VLOOKUP(A26,'02_线索来源分解'!$A$26:$E$200,3,0),0),0)</f>
        <v>79</v>
      </c>
      <c r="L26" s="26">
        <f>ROUND(IFERROR(VLOOKUP(A26,'02_线索来源分解'!$A$26:$D$200,4,0)*J26/VLOOKUP(A26,'02_线索来源分解'!$A$26:$D$200,3,0),0),0)</f>
        <v>1</v>
      </c>
      <c r="M26" s="11">
        <f>IF(J26=0,0,(G26*'01_3月经营总表'!$E$13+H26*'01_3月经营总表'!$E$12+I26*'01_3月经营总表'!$E$15)/J26)</f>
        <v>15500</v>
      </c>
      <c r="N26" s="11">
        <f>IF(J26=0,0,(G26*'01_3月经营总表'!$F$13+H26*'01_3月经营总表'!$F$12+I26*'01_3月经营总表'!$F$15)/J26)</f>
        <v>8750</v>
      </c>
      <c r="O26" s="11">
        <f t="shared" si="1"/>
        <v>6750</v>
      </c>
      <c r="P26" s="11">
        <f t="shared" si="2"/>
        <v>13500</v>
      </c>
      <c r="Q26" s="11">
        <f>IFERROR(VLOOKUP(A26,'02_线索来源分解'!$A$26:$G$200,7,0)*J26/VLOOKUP(A26,'02_线索来源分解'!$A$26:$G$200,3,0),0)</f>
        <v>16666.6666666667</v>
      </c>
      <c r="R26" s="11">
        <f t="shared" si="3"/>
        <v>-3166.66666666667</v>
      </c>
      <c r="S26" s="9" t="s">
        <v>126</v>
      </c>
    </row>
    <row r="27" spans="1:19">
      <c r="A27" s="9" t="s">
        <v>102</v>
      </c>
      <c r="B27" s="9" t="s">
        <v>147</v>
      </c>
      <c r="C27" s="26">
        <v>1</v>
      </c>
      <c r="D27" s="26">
        <v>1</v>
      </c>
      <c r="E27" s="26">
        <v>0</v>
      </c>
      <c r="F27" s="26">
        <v>2</v>
      </c>
      <c r="G27" s="28">
        <v>1</v>
      </c>
      <c r="H27" s="28">
        <v>1</v>
      </c>
      <c r="I27" s="28">
        <v>0</v>
      </c>
      <c r="J27" s="26">
        <f t="shared" si="0"/>
        <v>2</v>
      </c>
      <c r="K27" s="26">
        <f>ROUND(IFERROR(VLOOKUP(A27,'02_线索来源分解'!$A$26:$E$200,5,0)*J27/VLOOKUP(A27,'02_线索来源分解'!$A$26:$E$200,3,0),0),0)</f>
        <v>79</v>
      </c>
      <c r="L27" s="26">
        <f>ROUND(IFERROR(VLOOKUP(A27,'02_线索来源分解'!$A$26:$D$200,4,0)*J27/VLOOKUP(A27,'02_线索来源分解'!$A$26:$D$200,3,0),0),0)</f>
        <v>1</v>
      </c>
      <c r="M27" s="11">
        <f>IF(J27=0,0,(G27*'01_3月经营总表'!$E$13+H27*'01_3月经营总表'!$E$12+I27*'01_3月经营总表'!$E$15)/J27)</f>
        <v>15500</v>
      </c>
      <c r="N27" s="11">
        <f>IF(J27=0,0,(G27*'01_3月经营总表'!$F$13+H27*'01_3月经营总表'!$F$12+I27*'01_3月经营总表'!$F$15)/J27)</f>
        <v>8750</v>
      </c>
      <c r="O27" s="11">
        <f t="shared" si="1"/>
        <v>6750</v>
      </c>
      <c r="P27" s="11">
        <f t="shared" si="2"/>
        <v>13500</v>
      </c>
      <c r="Q27" s="11">
        <f>IFERROR(VLOOKUP(A27,'02_线索来源分解'!$A$26:$G$200,7,0)*J27/VLOOKUP(A27,'02_线索来源分解'!$A$26:$G$200,3,0),0)</f>
        <v>16666.6666666667</v>
      </c>
      <c r="R27" s="11">
        <f t="shared" si="3"/>
        <v>-3166.66666666667</v>
      </c>
      <c r="S27" s="9" t="s">
        <v>126</v>
      </c>
    </row>
    <row r="28" spans="1:19">
      <c r="A28" s="9" t="s">
        <v>103</v>
      </c>
      <c r="B28" s="9" t="s">
        <v>148</v>
      </c>
      <c r="C28" s="26">
        <v>3</v>
      </c>
      <c r="D28" s="26">
        <v>3</v>
      </c>
      <c r="E28" s="26">
        <v>0</v>
      </c>
      <c r="F28" s="26">
        <v>6</v>
      </c>
      <c r="G28" s="28">
        <v>3</v>
      </c>
      <c r="H28" s="28">
        <v>3</v>
      </c>
      <c r="I28" s="28">
        <v>0</v>
      </c>
      <c r="J28" s="26">
        <f t="shared" si="0"/>
        <v>6</v>
      </c>
      <c r="K28" s="26">
        <f>ROUND(IFERROR(VLOOKUP(A28,'02_线索来源分解'!$A$26:$E$200,5,0)*J28/VLOOKUP(A28,'02_线索来源分解'!$A$26:$E$200,3,0),0),0)</f>
        <v>235</v>
      </c>
      <c r="L28" s="26">
        <f>ROUND(IFERROR(VLOOKUP(A28,'02_线索来源分解'!$A$26:$D$200,4,0)*J28/VLOOKUP(A28,'02_线索来源分解'!$A$26:$D$200,3,0),0),0)</f>
        <v>2</v>
      </c>
      <c r="M28" s="11">
        <f>IF(J28=0,0,(G28*'01_3月经营总表'!$E$13+H28*'01_3月经营总表'!$E$12+I28*'01_3月经营总表'!$E$15)/J28)</f>
        <v>15500</v>
      </c>
      <c r="N28" s="11">
        <f>IF(J28=0,0,(G28*'01_3月经营总表'!$F$13+H28*'01_3月经营总表'!$F$12+I28*'01_3月经营总表'!$F$15)/J28)</f>
        <v>8750</v>
      </c>
      <c r="O28" s="11">
        <f t="shared" si="1"/>
        <v>6750</v>
      </c>
      <c r="P28" s="11">
        <f t="shared" si="2"/>
        <v>40500</v>
      </c>
      <c r="Q28" s="11">
        <f>IFERROR(VLOOKUP(A28,'02_线索来源分解'!$A$26:$G$200,7,0)*J28/VLOOKUP(A28,'02_线索来源分解'!$A$26:$G$200,3,0),0)</f>
        <v>133500</v>
      </c>
      <c r="R28" s="11">
        <f t="shared" si="3"/>
        <v>-93000</v>
      </c>
      <c r="S28" s="9" t="s">
        <v>126</v>
      </c>
    </row>
    <row r="30" spans="1:19">
      <c r="A30" s="3" t="s">
        <v>149</v>
      </c>
    </row>
    <row r="31" ht="31" customHeight="1" spans="1:19">
      <c r="A31" s="7" t="s">
        <v>83</v>
      </c>
      <c r="B31" s="7" t="s">
        <v>150</v>
      </c>
      <c r="C31" s="7" t="s">
        <v>151</v>
      </c>
      <c r="D31" s="7" t="s">
        <v>152</v>
      </c>
      <c r="E31" s="7" t="s">
        <v>153</v>
      </c>
      <c r="F31" s="7" t="s">
        <v>154</v>
      </c>
      <c r="G31" s="7" t="s">
        <v>155</v>
      </c>
      <c r="H31" s="7" t="s">
        <v>152</v>
      </c>
      <c r="I31" s="7" t="s">
        <v>153</v>
      </c>
      <c r="J31" s="7" t="s">
        <v>156</v>
      </c>
      <c r="K31" s="7" t="s">
        <v>156</v>
      </c>
      <c r="L31" s="7" t="s">
        <v>156</v>
      </c>
      <c r="M31" s="7" t="e">
        <f t="shared" ref="M31:M37" si="4">IF(J31=0,0,(G31*34000+H31*30000+I31*32000)/J31)</f>
        <v>#VALUE!</v>
      </c>
      <c r="N31" s="7" t="e">
        <f t="shared" ref="N31:N37" si="5">IF(J31=0,0,(G31*9000+H31*8500+I31*9000)/J31)</f>
        <v>#VALUE!</v>
      </c>
      <c r="O31" s="7" t="e">
        <f t="shared" ref="O31:O37" si="6">M31-N31</f>
        <v>#VALUE!</v>
      </c>
      <c r="P31" s="7" t="e">
        <f t="shared" ref="P31:P37" si="7">J31*O31</f>
        <v>#VALUE!</v>
      </c>
      <c r="Q31" s="7">
        <f>IFERROR(VLOOKUP(A31,'02_线索来源分解'!$A$26:$G$200,7,0)*J31/VLOOKUP(A31,'02_线索来源分解'!$A$26:$G$200,3,0),0)</f>
        <v>0</v>
      </c>
      <c r="R31" s="7" t="e">
        <f t="shared" ref="R31:R37" si="8">P31-Q31</f>
        <v>#VALUE!</v>
      </c>
      <c r="S31" s="7" t="s">
        <v>156</v>
      </c>
    </row>
    <row r="32" spans="1:19">
      <c r="A32" s="9" t="s">
        <v>97</v>
      </c>
      <c r="B32" s="26">
        <f>IFERROR(VLOOKUP(A32,'02_线索来源分解'!$A$26:$C$200,3,0),0)</f>
        <v>26</v>
      </c>
      <c r="C32" s="26">
        <f t="shared" ref="C32:C37" si="9">SUMIF($A$6:$A$28,A32,$J$6:$J$28)</f>
        <v>26</v>
      </c>
      <c r="D32" s="26">
        <f t="shared" ref="D32:D37" si="10">C32-B32</f>
        <v>0</v>
      </c>
      <c r="E32" s="9" t="str">
        <f t="shared" ref="E32:E37" si="11">IF(D32=0,"一致","请调整")</f>
        <v>一致</v>
      </c>
      <c r="F32" s="11">
        <f>IFERROR(VLOOKUP(A32,'02_线索来源分解'!$A$26:$G$200,7,0),0)</f>
        <v>174400</v>
      </c>
      <c r="G32" s="11">
        <f t="shared" ref="G32:G37" si="12">SUMIF($A$6:$A$28,A32,$Q$6:$Q$28)</f>
        <v>174400</v>
      </c>
      <c r="H32" s="26">
        <f t="shared" ref="H32:H37" si="13">G32-F32</f>
        <v>0</v>
      </c>
      <c r="I32" s="9" t="str">
        <f t="shared" ref="I32:I37" si="14">IF(H32=0,"一致","请调整")</f>
        <v>一致</v>
      </c>
      <c r="M32">
        <f t="shared" si="4"/>
        <v>0</v>
      </c>
      <c r="N32">
        <f t="shared" si="5"/>
        <v>0</v>
      </c>
      <c r="O32">
        <f t="shared" si="6"/>
        <v>0</v>
      </c>
      <c r="P32">
        <f t="shared" si="7"/>
        <v>0</v>
      </c>
      <c r="Q32">
        <f>IFERROR(VLOOKUP(A32,'02_线索来源分解'!$A$26:$G$200,7,0)*J32/VLOOKUP(A32,'02_线索来源分解'!$A$26:$G$200,3,0),0)</f>
        <v>0</v>
      </c>
      <c r="R32">
        <f t="shared" si="8"/>
        <v>0</v>
      </c>
    </row>
    <row r="33" spans="1:18">
      <c r="A33" s="9" t="s">
        <v>99</v>
      </c>
      <c r="B33" s="26">
        <f>IFERROR(VLOOKUP(A33,'02_线索来源分解'!$A$26:$C$200,3,0),0)</f>
        <v>32</v>
      </c>
      <c r="C33" s="26">
        <f t="shared" si="9"/>
        <v>32</v>
      </c>
      <c r="D33" s="26">
        <f t="shared" si="10"/>
        <v>0</v>
      </c>
      <c r="E33" s="9" t="str">
        <f t="shared" si="11"/>
        <v>一致</v>
      </c>
      <c r="F33" s="11">
        <f>IFERROR(VLOOKUP(A33,'02_线索来源分解'!$A$26:$G$200,7,0),0)</f>
        <v>235200</v>
      </c>
      <c r="G33" s="11">
        <f t="shared" si="12"/>
        <v>235200</v>
      </c>
      <c r="H33" s="26">
        <f t="shared" si="13"/>
        <v>0</v>
      </c>
      <c r="I33" s="9" t="str">
        <f t="shared" si="14"/>
        <v>一致</v>
      </c>
      <c r="M33">
        <f t="shared" si="4"/>
        <v>0</v>
      </c>
      <c r="N33">
        <f t="shared" si="5"/>
        <v>0</v>
      </c>
      <c r="O33">
        <f t="shared" si="6"/>
        <v>0</v>
      </c>
      <c r="P33">
        <f t="shared" si="7"/>
        <v>0</v>
      </c>
      <c r="Q33">
        <f>IFERROR(VLOOKUP(A33,'02_线索来源分解'!$A$26:$G$200,7,0)*J33/VLOOKUP(A33,'02_线索来源分解'!$A$26:$G$200,3,0),0)</f>
        <v>0</v>
      </c>
      <c r="R33">
        <f t="shared" si="8"/>
        <v>0</v>
      </c>
    </row>
    <row r="34" spans="1:18">
      <c r="A34" s="9" t="s">
        <v>100</v>
      </c>
      <c r="B34" s="26">
        <f>IFERROR(VLOOKUP(A34,'02_线索来源分解'!$A$26:$C$200,3,0),0)</f>
        <v>50</v>
      </c>
      <c r="C34" s="26">
        <f t="shared" si="9"/>
        <v>50</v>
      </c>
      <c r="D34" s="26">
        <f t="shared" si="10"/>
        <v>0</v>
      </c>
      <c r="E34" s="9" t="str">
        <f t="shared" si="11"/>
        <v>一致</v>
      </c>
      <c r="F34" s="11">
        <f>IFERROR(VLOOKUP(A34,'02_线索来源分解'!$A$26:$G$200,7,0),0)</f>
        <v>806400</v>
      </c>
      <c r="G34" s="11">
        <f t="shared" si="12"/>
        <v>806400</v>
      </c>
      <c r="H34" s="26">
        <f t="shared" si="13"/>
        <v>0</v>
      </c>
      <c r="I34" s="9" t="str">
        <f t="shared" si="14"/>
        <v>一致</v>
      </c>
      <c r="M34">
        <f t="shared" si="4"/>
        <v>0</v>
      </c>
      <c r="N34">
        <f t="shared" si="5"/>
        <v>0</v>
      </c>
      <c r="O34">
        <f t="shared" si="6"/>
        <v>0</v>
      </c>
      <c r="P34">
        <f t="shared" si="7"/>
        <v>0</v>
      </c>
      <c r="Q34">
        <f>IFERROR(VLOOKUP(A34,'02_线索来源分解'!$A$26:$G$200,7,0)*J34/VLOOKUP(A34,'02_线索来源分解'!$A$26:$G$200,3,0),0)</f>
        <v>0</v>
      </c>
      <c r="R34">
        <f t="shared" si="8"/>
        <v>0</v>
      </c>
    </row>
    <row r="35" ht="31" customHeight="1" spans="1:18">
      <c r="A35" s="9" t="s">
        <v>101</v>
      </c>
      <c r="B35" s="26">
        <f>IFERROR(VLOOKUP(A35,'02_线索来源分解'!$A$26:$C$200,3,0),0)</f>
        <v>24</v>
      </c>
      <c r="C35" s="26">
        <f t="shared" si="9"/>
        <v>24</v>
      </c>
      <c r="D35" s="26">
        <f t="shared" si="10"/>
        <v>0</v>
      </c>
      <c r="E35" s="9" t="str">
        <f t="shared" si="11"/>
        <v>一致</v>
      </c>
      <c r="F35" s="11">
        <f>IFERROR(VLOOKUP(A35,'02_线索来源分解'!$A$26:$G$200,7,0),0)</f>
        <v>182800</v>
      </c>
      <c r="G35" s="11">
        <f t="shared" si="12"/>
        <v>182800</v>
      </c>
      <c r="H35" s="26">
        <f t="shared" si="13"/>
        <v>0</v>
      </c>
      <c r="I35" s="9" t="str">
        <f t="shared" si="14"/>
        <v>一致</v>
      </c>
      <c r="M35">
        <f t="shared" si="4"/>
        <v>0</v>
      </c>
      <c r="N35">
        <f t="shared" si="5"/>
        <v>0</v>
      </c>
      <c r="O35">
        <f t="shared" si="6"/>
        <v>0</v>
      </c>
      <c r="P35">
        <f t="shared" si="7"/>
        <v>0</v>
      </c>
      <c r="Q35">
        <f>IFERROR(VLOOKUP(A35,'02_线索来源分解'!$A$26:$G$200,7,0)*J35/VLOOKUP(A35,'02_线索来源分解'!$A$26:$G$200,3,0),0)</f>
        <v>0</v>
      </c>
      <c r="R35">
        <f t="shared" si="8"/>
        <v>0</v>
      </c>
    </row>
    <row r="36" spans="1:18">
      <c r="A36" s="9" t="s">
        <v>102</v>
      </c>
      <c r="B36" s="26">
        <f>IFERROR(VLOOKUP(A36,'02_线索来源分解'!$A$26:$C$200,3,0),0)</f>
        <v>12</v>
      </c>
      <c r="C36" s="26">
        <f t="shared" si="9"/>
        <v>12</v>
      </c>
      <c r="D36" s="26">
        <f t="shared" si="10"/>
        <v>0</v>
      </c>
      <c r="E36" s="9" t="str">
        <f t="shared" si="11"/>
        <v>一致</v>
      </c>
      <c r="F36" s="11">
        <f>IFERROR(VLOOKUP(A36,'02_线索来源分解'!$A$26:$G$200,7,0),0)</f>
        <v>100000</v>
      </c>
      <c r="G36" s="11">
        <f t="shared" si="12"/>
        <v>100000</v>
      </c>
      <c r="H36" s="26">
        <f t="shared" si="13"/>
        <v>0</v>
      </c>
      <c r="I36" s="9" t="str">
        <f t="shared" si="14"/>
        <v>一致</v>
      </c>
      <c r="M36">
        <f t="shared" si="4"/>
        <v>0</v>
      </c>
      <c r="N36">
        <f t="shared" si="5"/>
        <v>0</v>
      </c>
      <c r="O36">
        <f t="shared" si="6"/>
        <v>0</v>
      </c>
      <c r="P36">
        <f t="shared" si="7"/>
        <v>0</v>
      </c>
      <c r="Q36">
        <f>IFERROR(VLOOKUP(A36,'02_线索来源分解'!$A$26:$G$200,7,0)*J36/VLOOKUP(A36,'02_线索来源分解'!$A$26:$G$200,3,0),0)</f>
        <v>0</v>
      </c>
      <c r="R36">
        <f t="shared" si="8"/>
        <v>0</v>
      </c>
    </row>
    <row r="37" spans="1:18">
      <c r="A37" s="9" t="s">
        <v>103</v>
      </c>
      <c r="B37" s="26">
        <f>IFERROR(VLOOKUP(A37,'02_线索来源分解'!$A$26:$C$200,3,0),0)</f>
        <v>6</v>
      </c>
      <c r="C37" s="26">
        <f t="shared" si="9"/>
        <v>6</v>
      </c>
      <c r="D37" s="26">
        <f t="shared" si="10"/>
        <v>0</v>
      </c>
      <c r="E37" s="9" t="str">
        <f t="shared" si="11"/>
        <v>一致</v>
      </c>
      <c r="F37" s="11">
        <f>IFERROR(VLOOKUP(A37,'02_线索来源分解'!$A$26:$G$200,7,0),0)</f>
        <v>133500</v>
      </c>
      <c r="G37" s="11">
        <f t="shared" si="12"/>
        <v>133500</v>
      </c>
      <c r="H37" s="26">
        <f t="shared" si="13"/>
        <v>0</v>
      </c>
      <c r="I37" s="9" t="str">
        <f t="shared" si="14"/>
        <v>一致</v>
      </c>
      <c r="M37">
        <f t="shared" si="4"/>
        <v>0</v>
      </c>
      <c r="N37">
        <f t="shared" si="5"/>
        <v>0</v>
      </c>
      <c r="O37">
        <f t="shared" si="6"/>
        <v>0</v>
      </c>
      <c r="P37">
        <f t="shared" si="7"/>
        <v>0</v>
      </c>
      <c r="Q37">
        <f>IFERROR(VLOOKUP(A37,'02_线索来源分解'!$A$26:$G$200,7,0)*J37/VLOOKUP(A37,'02_线索来源分解'!$A$26:$G$200,3,0),0)</f>
        <v>0</v>
      </c>
      <c r="R37">
        <f t="shared" si="8"/>
        <v>0</v>
      </c>
    </row>
  </sheetData>
  <mergeCells count="4">
    <mergeCell ref="A1:S1"/>
    <mergeCell ref="A2:S2"/>
    <mergeCell ref="A4:S4"/>
    <mergeCell ref="A30:S30"/>
  </mergeCells>
  <conditionalFormatting sqref="E32:E37">
    <cfRule type="expression" dxfId="0" priority="2" stopIfTrue="1">
      <formula>E32="请调整"</formula>
    </cfRule>
    <cfRule type="expression" dxfId="1" priority="4" stopIfTrue="1">
      <formula>E32="一致"</formula>
    </cfRule>
  </conditionalFormatting>
  <conditionalFormatting sqref="I32:I37">
    <cfRule type="expression" dxfId="0" priority="3" stopIfTrue="1">
      <formula>I32="请调整"</formula>
    </cfRule>
    <cfRule type="expression" dxfId="1" priority="5" stopIfTrue="1">
      <formula>I32="一致"</formula>
    </cfRule>
  </conditionalFormatting>
  <conditionalFormatting sqref="R6:R28">
    <cfRule type="expression" dxfId="0" priority="1" stopIfTrue="1">
      <formula>R6&lt;0</formula>
    </cfRule>
  </conditionalFormatting>
  <dataValidations count="1">
    <dataValidation type="list" allowBlank="1" sqref="S6:S28">
      <formula1>"正常推进,需帮扶,重点跟进"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pane ySplit="5" topLeftCell="A6" activePane="bottomLeft" state="frozen"/>
      <selection/>
      <selection pane="bottomLeft" activeCell="A1" sqref="A1:O1"/>
    </sheetView>
  </sheetViews>
  <sheetFormatPr defaultColWidth="9" defaultRowHeight="16.8"/>
  <cols>
    <col min="1" max="1" width="8" customWidth="1"/>
    <col min="2" max="2" width="14" customWidth="1"/>
    <col min="3" max="3" width="18" customWidth="1"/>
    <col min="4" max="5" width="10" customWidth="1"/>
    <col min="6" max="6" width="12" customWidth="1"/>
    <col min="7" max="8" width="10" customWidth="1"/>
    <col min="9" max="9" width="12" customWidth="1"/>
    <col min="10" max="12" width="10" customWidth="1"/>
    <col min="13" max="14" width="12" customWidth="1"/>
    <col min="15" max="15" width="22" customWidth="1"/>
  </cols>
  <sheetData>
    <row r="1" ht="22" customHeight="1" spans="1:15">
      <c r="A1" s="1" t="s">
        <v>157</v>
      </c>
    </row>
    <row r="2" spans="1:15">
      <c r="A2" s="2" t="s">
        <v>158</v>
      </c>
    </row>
    <row r="4" spans="1:15">
      <c r="A4" s="3" t="s">
        <v>159</v>
      </c>
    </row>
    <row r="5" ht="31" customHeight="1" spans="1:15">
      <c r="A5" s="7" t="s">
        <v>160</v>
      </c>
      <c r="B5" s="7" t="s">
        <v>161</v>
      </c>
      <c r="C5" s="7" t="s">
        <v>83</v>
      </c>
      <c r="D5" s="7" t="s">
        <v>162</v>
      </c>
      <c r="E5" s="7" t="s">
        <v>163</v>
      </c>
      <c r="F5" s="7" t="s">
        <v>164</v>
      </c>
      <c r="G5" s="7" t="s">
        <v>165</v>
      </c>
      <c r="H5" s="7" t="s">
        <v>166</v>
      </c>
      <c r="I5" s="7" t="s">
        <v>167</v>
      </c>
      <c r="J5" s="7" t="s">
        <v>168</v>
      </c>
      <c r="K5" s="7" t="s">
        <v>169</v>
      </c>
      <c r="L5" s="7" t="s">
        <v>170</v>
      </c>
      <c r="M5" s="7" t="s">
        <v>171</v>
      </c>
      <c r="N5" s="7" t="s">
        <v>172</v>
      </c>
      <c r="O5" s="7" t="s">
        <v>173</v>
      </c>
    </row>
    <row r="6" ht="31" customHeight="1" spans="1:15">
      <c r="A6" s="9" t="s">
        <v>174</v>
      </c>
      <c r="B6" s="9" t="s">
        <v>175</v>
      </c>
      <c r="C6" s="9" t="s">
        <v>97</v>
      </c>
      <c r="D6" s="26">
        <f>ROUND(IFERROR(VLOOKUP(C6,'02_线索来源分解'!$A$26:$D$200,3,0)/4,0),0)</f>
        <v>7</v>
      </c>
      <c r="E6" s="26">
        <f>ROUND(IFERROR(VLOOKUP(C6,'02_线索来源分解'!$A$26:$D$200,4,0)/4,0),0)</f>
        <v>3</v>
      </c>
      <c r="F6" s="26">
        <f>ROUND(IFERROR(VLOOKUP(C6,'02_线索来源分解'!$A$26:$E$200,5,0)/4,0),0)</f>
        <v>255</v>
      </c>
      <c r="G6" s="26">
        <v>0</v>
      </c>
      <c r="H6" s="26">
        <v>0</v>
      </c>
      <c r="I6" s="26">
        <v>0</v>
      </c>
      <c r="J6" s="27">
        <f t="shared" ref="J6:J29" si="0">IF(D6=0,0,G6/D6)</f>
        <v>0</v>
      </c>
      <c r="K6" s="27">
        <f t="shared" ref="K6:K29" si="1">IF(E6=0,0,H6/E6)</f>
        <v>0</v>
      </c>
      <c r="L6" s="27">
        <f t="shared" ref="L6:L29" si="2">IF(F6=0,0,I6/F6)</f>
        <v>0</v>
      </c>
      <c r="M6" s="26">
        <f>ROUND(IFERROR(VLOOKUP(C6,'02_线索来源分解'!$A$26:$G$200,7,0)/4,0),0)</f>
        <v>43600</v>
      </c>
      <c r="N6" s="26">
        <v>0</v>
      </c>
      <c r="O6" s="9" t="s">
        <v>156</v>
      </c>
    </row>
    <row r="7" ht="31" customHeight="1" spans="1:15">
      <c r="A7" s="9" t="s">
        <v>174</v>
      </c>
      <c r="B7" s="9" t="s">
        <v>175</v>
      </c>
      <c r="C7" s="9" t="s">
        <v>99</v>
      </c>
      <c r="D7" s="26">
        <f>ROUND(IFERROR(VLOOKUP(C7,'02_线索来源分解'!$A$26:$D$200,3,0)/4,0),0)</f>
        <v>8</v>
      </c>
      <c r="E7" s="26">
        <f>ROUND(IFERROR(VLOOKUP(C7,'02_线索来源分解'!$A$26:$D$200,4,0)/4,0),0)</f>
        <v>3</v>
      </c>
      <c r="F7" s="26">
        <f>ROUND(IFERROR(VLOOKUP(C7,'02_线索来源分解'!$A$26:$E$200,5,0)/4,0),0)</f>
        <v>314</v>
      </c>
      <c r="G7" s="26">
        <v>0</v>
      </c>
      <c r="H7" s="26">
        <v>0</v>
      </c>
      <c r="I7" s="26">
        <v>0</v>
      </c>
      <c r="J7" s="27">
        <f t="shared" si="0"/>
        <v>0</v>
      </c>
      <c r="K7" s="27">
        <f t="shared" si="1"/>
        <v>0</v>
      </c>
      <c r="L7" s="27">
        <f t="shared" si="2"/>
        <v>0</v>
      </c>
      <c r="M7" s="26">
        <f>ROUND(IFERROR(VLOOKUP(C7,'02_线索来源分解'!$A$26:$G$200,7,0)/4,0),0)</f>
        <v>58800</v>
      </c>
      <c r="N7" s="26">
        <v>0</v>
      </c>
      <c r="O7" s="9" t="s">
        <v>156</v>
      </c>
    </row>
    <row r="8" ht="31" customHeight="1" spans="1:15">
      <c r="A8" s="9" t="s">
        <v>174</v>
      </c>
      <c r="B8" s="9" t="s">
        <v>175</v>
      </c>
      <c r="C8" s="9" t="s">
        <v>100</v>
      </c>
      <c r="D8" s="26">
        <f>ROUND(IFERROR(VLOOKUP(C8,'02_线索来源分解'!$A$26:$D$200,3,0)/4,0),0)</f>
        <v>13</v>
      </c>
      <c r="E8" s="26">
        <f>ROUND(IFERROR(VLOOKUP(C8,'02_线索来源分解'!$A$26:$D$200,4,0)/4,0),0)</f>
        <v>5</v>
      </c>
      <c r="F8" s="26">
        <f>ROUND(IFERROR(VLOOKUP(C8,'02_线索来源分解'!$A$26:$E$200,5,0)/4,0),0)</f>
        <v>490</v>
      </c>
      <c r="G8" s="26">
        <v>0</v>
      </c>
      <c r="H8" s="26">
        <v>0</v>
      </c>
      <c r="I8" s="26">
        <v>0</v>
      </c>
      <c r="J8" s="27">
        <f t="shared" si="0"/>
        <v>0</v>
      </c>
      <c r="K8" s="27">
        <f t="shared" si="1"/>
        <v>0</v>
      </c>
      <c r="L8" s="27">
        <f t="shared" si="2"/>
        <v>0</v>
      </c>
      <c r="M8" s="26">
        <f>ROUND(IFERROR(VLOOKUP(C8,'02_线索来源分解'!$A$26:$G$200,7,0)/4,0),0)</f>
        <v>201600</v>
      </c>
      <c r="N8" s="26">
        <v>0</v>
      </c>
      <c r="O8" s="9" t="s">
        <v>156</v>
      </c>
    </row>
    <row r="9" ht="31" customHeight="1" spans="1:15">
      <c r="A9" s="9" t="s">
        <v>174</v>
      </c>
      <c r="B9" s="9" t="s">
        <v>175</v>
      </c>
      <c r="C9" s="9" t="s">
        <v>101</v>
      </c>
      <c r="D9" s="26">
        <f>ROUND(IFERROR(VLOOKUP(C9,'02_线索来源分解'!$A$26:$D$200,3,0)/4,0),0)</f>
        <v>6</v>
      </c>
      <c r="E9" s="26">
        <f>ROUND(IFERROR(VLOOKUP(C9,'02_线索来源分解'!$A$26:$D$200,4,0)/4,0),0)</f>
        <v>3</v>
      </c>
      <c r="F9" s="26">
        <f>ROUND(IFERROR(VLOOKUP(C9,'02_线索来源分解'!$A$26:$E$200,5,0)/4,0),0)</f>
        <v>235</v>
      </c>
      <c r="G9" s="26">
        <v>0</v>
      </c>
      <c r="H9" s="26">
        <v>0</v>
      </c>
      <c r="I9" s="26">
        <v>0</v>
      </c>
      <c r="J9" s="27">
        <f t="shared" si="0"/>
        <v>0</v>
      </c>
      <c r="K9" s="27">
        <f t="shared" si="1"/>
        <v>0</v>
      </c>
      <c r="L9" s="27">
        <f t="shared" si="2"/>
        <v>0</v>
      </c>
      <c r="M9" s="26">
        <f>ROUND(IFERROR(VLOOKUP(C9,'02_线索来源分解'!$A$26:$G$200,7,0)/4,0),0)</f>
        <v>45700</v>
      </c>
      <c r="N9" s="26">
        <v>0</v>
      </c>
      <c r="O9" s="9" t="s">
        <v>156</v>
      </c>
    </row>
    <row r="10" ht="31" customHeight="1" spans="1:15">
      <c r="A10" s="9" t="s">
        <v>174</v>
      </c>
      <c r="B10" s="9" t="s">
        <v>175</v>
      </c>
      <c r="C10" s="9" t="s">
        <v>102</v>
      </c>
      <c r="D10" s="26">
        <f>ROUND(IFERROR(VLOOKUP(C10,'02_线索来源分解'!$A$26:$D$200,3,0)/4,0),0)</f>
        <v>3</v>
      </c>
      <c r="E10" s="26">
        <f>ROUND(IFERROR(VLOOKUP(C10,'02_线索来源分解'!$A$26:$D$200,4,0)/4,0),0)</f>
        <v>1</v>
      </c>
      <c r="F10" s="26">
        <f>ROUND(IFERROR(VLOOKUP(C10,'02_线索来源分解'!$A$26:$E$200,5,0)/4,0),0)</f>
        <v>118</v>
      </c>
      <c r="G10" s="26">
        <v>0</v>
      </c>
      <c r="H10" s="26">
        <v>0</v>
      </c>
      <c r="I10" s="26">
        <v>0</v>
      </c>
      <c r="J10" s="27">
        <f t="shared" si="0"/>
        <v>0</v>
      </c>
      <c r="K10" s="27">
        <f t="shared" si="1"/>
        <v>0</v>
      </c>
      <c r="L10" s="27">
        <f t="shared" si="2"/>
        <v>0</v>
      </c>
      <c r="M10" s="26">
        <f>ROUND(IFERROR(VLOOKUP(C10,'02_线索来源分解'!$A$26:$G$200,7,0)/4,0),0)</f>
        <v>25000</v>
      </c>
      <c r="N10" s="26">
        <v>0</v>
      </c>
      <c r="O10" s="9" t="s">
        <v>156</v>
      </c>
    </row>
    <row r="11" ht="31" customHeight="1" spans="1:15">
      <c r="A11" s="9" t="s">
        <v>174</v>
      </c>
      <c r="B11" s="9" t="s">
        <v>175</v>
      </c>
      <c r="C11" s="9" t="s">
        <v>103</v>
      </c>
      <c r="D11" s="26">
        <f>ROUND(IFERROR(VLOOKUP(C11,'02_线索来源分解'!$A$26:$D$200,3,0)/4,0),0)</f>
        <v>2</v>
      </c>
      <c r="E11" s="26">
        <f>ROUND(IFERROR(VLOOKUP(C11,'02_线索来源分解'!$A$26:$D$200,4,0)/4,0),0)</f>
        <v>1</v>
      </c>
      <c r="F11" s="26">
        <f>ROUND(IFERROR(VLOOKUP(C11,'02_线索来源分解'!$A$26:$E$200,5,0)/4,0),0)</f>
        <v>59</v>
      </c>
      <c r="G11" s="26">
        <v>0</v>
      </c>
      <c r="H11" s="26">
        <v>0</v>
      </c>
      <c r="I11" s="26">
        <v>0</v>
      </c>
      <c r="J11" s="27">
        <f t="shared" si="0"/>
        <v>0</v>
      </c>
      <c r="K11" s="27">
        <f t="shared" si="1"/>
        <v>0</v>
      </c>
      <c r="L11" s="27">
        <f t="shared" si="2"/>
        <v>0</v>
      </c>
      <c r="M11" s="26">
        <f>ROUND(IFERROR(VLOOKUP(C11,'02_线索来源分解'!$A$26:$G$200,7,0)/4,0),0)</f>
        <v>33375</v>
      </c>
      <c r="N11" s="26">
        <v>0</v>
      </c>
      <c r="O11" s="9" t="s">
        <v>156</v>
      </c>
    </row>
    <row r="12" ht="31" customHeight="1" spans="1:15">
      <c r="A12" s="9" t="s">
        <v>176</v>
      </c>
      <c r="B12" s="9" t="s">
        <v>177</v>
      </c>
      <c r="C12" s="9" t="s">
        <v>97</v>
      </c>
      <c r="D12" s="26">
        <f>ROUND(IFERROR(VLOOKUP(C12,'02_线索来源分解'!$A$26:$D$200,3,0)/4,0),0)</f>
        <v>7</v>
      </c>
      <c r="E12" s="26">
        <f>ROUND(IFERROR(VLOOKUP(C12,'02_线索来源分解'!$A$26:$D$200,4,0)/4,0),0)</f>
        <v>3</v>
      </c>
      <c r="F12" s="26">
        <f>ROUND(IFERROR(VLOOKUP(C12,'02_线索来源分解'!$A$26:$E$200,5,0)/4,0),0)</f>
        <v>255</v>
      </c>
      <c r="G12" s="26">
        <v>0</v>
      </c>
      <c r="H12" s="26">
        <v>0</v>
      </c>
      <c r="I12" s="26">
        <v>0</v>
      </c>
      <c r="J12" s="27">
        <f t="shared" si="0"/>
        <v>0</v>
      </c>
      <c r="K12" s="27">
        <f t="shared" si="1"/>
        <v>0</v>
      </c>
      <c r="L12" s="27">
        <f t="shared" si="2"/>
        <v>0</v>
      </c>
      <c r="M12" s="26">
        <f>ROUND(IFERROR(VLOOKUP(C12,'02_线索来源分解'!$A$26:$G$200,7,0)/4,0),0)</f>
        <v>43600</v>
      </c>
      <c r="N12" s="26">
        <v>0</v>
      </c>
      <c r="O12" s="9" t="s">
        <v>156</v>
      </c>
    </row>
    <row r="13" ht="31" customHeight="1" spans="1:15">
      <c r="A13" s="9" t="s">
        <v>176</v>
      </c>
      <c r="B13" s="9" t="s">
        <v>177</v>
      </c>
      <c r="C13" s="9" t="s">
        <v>99</v>
      </c>
      <c r="D13" s="26">
        <f>ROUND(IFERROR(VLOOKUP(C13,'02_线索来源分解'!$A$26:$D$200,3,0)/4,0),0)</f>
        <v>8</v>
      </c>
      <c r="E13" s="26">
        <f>ROUND(IFERROR(VLOOKUP(C13,'02_线索来源分解'!$A$26:$D$200,4,0)/4,0),0)</f>
        <v>3</v>
      </c>
      <c r="F13" s="26">
        <f>ROUND(IFERROR(VLOOKUP(C13,'02_线索来源分解'!$A$26:$E$200,5,0)/4,0),0)</f>
        <v>314</v>
      </c>
      <c r="G13" s="26">
        <v>0</v>
      </c>
      <c r="H13" s="26">
        <v>0</v>
      </c>
      <c r="I13" s="26">
        <v>0</v>
      </c>
      <c r="J13" s="27">
        <f t="shared" si="0"/>
        <v>0</v>
      </c>
      <c r="K13" s="27">
        <f t="shared" si="1"/>
        <v>0</v>
      </c>
      <c r="L13" s="27">
        <f t="shared" si="2"/>
        <v>0</v>
      </c>
      <c r="M13" s="26">
        <f>ROUND(IFERROR(VLOOKUP(C13,'02_线索来源分解'!$A$26:$G$200,7,0)/4,0),0)</f>
        <v>58800</v>
      </c>
      <c r="N13" s="26">
        <v>0</v>
      </c>
      <c r="O13" s="9" t="s">
        <v>156</v>
      </c>
    </row>
    <row r="14" ht="31" customHeight="1" spans="1:15">
      <c r="A14" s="9" t="s">
        <v>176</v>
      </c>
      <c r="B14" s="9" t="s">
        <v>177</v>
      </c>
      <c r="C14" s="9" t="s">
        <v>100</v>
      </c>
      <c r="D14" s="26">
        <f>ROUND(IFERROR(VLOOKUP(C14,'02_线索来源分解'!$A$26:$D$200,3,0)/4,0),0)</f>
        <v>13</v>
      </c>
      <c r="E14" s="26">
        <f>ROUND(IFERROR(VLOOKUP(C14,'02_线索来源分解'!$A$26:$D$200,4,0)/4,0),0)</f>
        <v>5</v>
      </c>
      <c r="F14" s="26">
        <f>ROUND(IFERROR(VLOOKUP(C14,'02_线索来源分解'!$A$26:$E$200,5,0)/4,0),0)</f>
        <v>490</v>
      </c>
      <c r="G14" s="26">
        <v>0</v>
      </c>
      <c r="H14" s="26">
        <v>0</v>
      </c>
      <c r="I14" s="26">
        <v>0</v>
      </c>
      <c r="J14" s="27">
        <f t="shared" si="0"/>
        <v>0</v>
      </c>
      <c r="K14" s="27">
        <f t="shared" si="1"/>
        <v>0</v>
      </c>
      <c r="L14" s="27">
        <f t="shared" si="2"/>
        <v>0</v>
      </c>
      <c r="M14" s="26">
        <f>ROUND(IFERROR(VLOOKUP(C14,'02_线索来源分解'!$A$26:$G$200,7,0)/4,0),0)</f>
        <v>201600</v>
      </c>
      <c r="N14" s="26">
        <v>0</v>
      </c>
      <c r="O14" s="9" t="s">
        <v>156</v>
      </c>
    </row>
    <row r="15" ht="31" customHeight="1" spans="1:15">
      <c r="A15" s="9" t="s">
        <v>176</v>
      </c>
      <c r="B15" s="9" t="s">
        <v>177</v>
      </c>
      <c r="C15" s="9" t="s">
        <v>101</v>
      </c>
      <c r="D15" s="26">
        <f>ROUND(IFERROR(VLOOKUP(C15,'02_线索来源分解'!$A$26:$D$200,3,0)/4,0),0)</f>
        <v>6</v>
      </c>
      <c r="E15" s="26">
        <f>ROUND(IFERROR(VLOOKUP(C15,'02_线索来源分解'!$A$26:$D$200,4,0)/4,0),0)</f>
        <v>3</v>
      </c>
      <c r="F15" s="26">
        <f>ROUND(IFERROR(VLOOKUP(C15,'02_线索来源分解'!$A$26:$E$200,5,0)/4,0),0)</f>
        <v>235</v>
      </c>
      <c r="G15" s="26">
        <v>0</v>
      </c>
      <c r="H15" s="26">
        <v>0</v>
      </c>
      <c r="I15" s="26">
        <v>0</v>
      </c>
      <c r="J15" s="27">
        <f t="shared" si="0"/>
        <v>0</v>
      </c>
      <c r="K15" s="27">
        <f t="shared" si="1"/>
        <v>0</v>
      </c>
      <c r="L15" s="27">
        <f t="shared" si="2"/>
        <v>0</v>
      </c>
      <c r="M15" s="26">
        <f>ROUND(IFERROR(VLOOKUP(C15,'02_线索来源分解'!$A$26:$G$200,7,0)/4,0),0)</f>
        <v>45700</v>
      </c>
      <c r="N15" s="26">
        <v>0</v>
      </c>
      <c r="O15" s="9" t="s">
        <v>156</v>
      </c>
    </row>
    <row r="16" ht="31" customHeight="1" spans="1:15">
      <c r="A16" s="9" t="s">
        <v>176</v>
      </c>
      <c r="B16" s="9" t="s">
        <v>177</v>
      </c>
      <c r="C16" s="9" t="s">
        <v>102</v>
      </c>
      <c r="D16" s="26">
        <f>ROUND(IFERROR(VLOOKUP(C16,'02_线索来源分解'!$A$26:$D$200,3,0)/4,0),0)</f>
        <v>3</v>
      </c>
      <c r="E16" s="26">
        <f>ROUND(IFERROR(VLOOKUP(C16,'02_线索来源分解'!$A$26:$D$200,4,0)/4,0),0)</f>
        <v>1</v>
      </c>
      <c r="F16" s="26">
        <f>ROUND(IFERROR(VLOOKUP(C16,'02_线索来源分解'!$A$26:$E$200,5,0)/4,0),0)</f>
        <v>118</v>
      </c>
      <c r="G16" s="26">
        <v>0</v>
      </c>
      <c r="H16" s="26">
        <v>0</v>
      </c>
      <c r="I16" s="26">
        <v>0</v>
      </c>
      <c r="J16" s="27">
        <f t="shared" si="0"/>
        <v>0</v>
      </c>
      <c r="K16" s="27">
        <f t="shared" si="1"/>
        <v>0</v>
      </c>
      <c r="L16" s="27">
        <f t="shared" si="2"/>
        <v>0</v>
      </c>
      <c r="M16" s="26">
        <f>ROUND(IFERROR(VLOOKUP(C16,'02_线索来源分解'!$A$26:$G$200,7,0)/4,0),0)</f>
        <v>25000</v>
      </c>
      <c r="N16" s="26">
        <v>0</v>
      </c>
      <c r="O16" s="9" t="s">
        <v>156</v>
      </c>
    </row>
    <row r="17" ht="31" customHeight="1" spans="1:15">
      <c r="A17" s="9" t="s">
        <v>176</v>
      </c>
      <c r="B17" s="9" t="s">
        <v>177</v>
      </c>
      <c r="C17" s="9" t="s">
        <v>103</v>
      </c>
      <c r="D17" s="26">
        <f>ROUND(IFERROR(VLOOKUP(C17,'02_线索来源分解'!$A$26:$D$200,3,0)/4,0),0)</f>
        <v>2</v>
      </c>
      <c r="E17" s="26">
        <f>ROUND(IFERROR(VLOOKUP(C17,'02_线索来源分解'!$A$26:$D$200,4,0)/4,0),0)</f>
        <v>1</v>
      </c>
      <c r="F17" s="26">
        <f>ROUND(IFERROR(VLOOKUP(C17,'02_线索来源分解'!$A$26:$E$200,5,0)/4,0),0)</f>
        <v>59</v>
      </c>
      <c r="G17" s="26">
        <v>0</v>
      </c>
      <c r="H17" s="26">
        <v>0</v>
      </c>
      <c r="I17" s="26">
        <v>0</v>
      </c>
      <c r="J17" s="27">
        <f t="shared" si="0"/>
        <v>0</v>
      </c>
      <c r="K17" s="27">
        <f t="shared" si="1"/>
        <v>0</v>
      </c>
      <c r="L17" s="27">
        <f t="shared" si="2"/>
        <v>0</v>
      </c>
      <c r="M17" s="26">
        <f>ROUND(IFERROR(VLOOKUP(C17,'02_线索来源分解'!$A$26:$G$200,7,0)/4,0),0)</f>
        <v>33375</v>
      </c>
      <c r="N17" s="26">
        <v>0</v>
      </c>
      <c r="O17" s="9" t="s">
        <v>156</v>
      </c>
    </row>
    <row r="18" ht="31" customHeight="1" spans="1:15">
      <c r="A18" s="9" t="s">
        <v>178</v>
      </c>
      <c r="B18" s="9" t="s">
        <v>179</v>
      </c>
      <c r="C18" s="9" t="s">
        <v>97</v>
      </c>
      <c r="D18" s="26">
        <f>ROUND(IFERROR(VLOOKUP(C18,'02_线索来源分解'!$A$26:$D$200,3,0)/4,0),0)</f>
        <v>7</v>
      </c>
      <c r="E18" s="26">
        <f>ROUND(IFERROR(VLOOKUP(C18,'02_线索来源分解'!$A$26:$D$200,4,0)/4,0),0)</f>
        <v>3</v>
      </c>
      <c r="F18" s="26">
        <f>ROUND(IFERROR(VLOOKUP(C18,'02_线索来源分解'!$A$26:$E$200,5,0)/4,0),0)</f>
        <v>255</v>
      </c>
      <c r="G18" s="26">
        <v>0</v>
      </c>
      <c r="H18" s="26">
        <v>0</v>
      </c>
      <c r="I18" s="26">
        <v>0</v>
      </c>
      <c r="J18" s="27">
        <f t="shared" si="0"/>
        <v>0</v>
      </c>
      <c r="K18" s="27">
        <f t="shared" si="1"/>
        <v>0</v>
      </c>
      <c r="L18" s="27">
        <f t="shared" si="2"/>
        <v>0</v>
      </c>
      <c r="M18" s="26">
        <f>ROUND(IFERROR(VLOOKUP(C18,'02_线索来源分解'!$A$26:$G$200,7,0)/4,0),0)</f>
        <v>43600</v>
      </c>
      <c r="N18" s="26">
        <v>0</v>
      </c>
      <c r="O18" s="9" t="s">
        <v>156</v>
      </c>
    </row>
    <row r="19" ht="31" customHeight="1" spans="1:15">
      <c r="A19" s="9" t="s">
        <v>178</v>
      </c>
      <c r="B19" s="9" t="s">
        <v>179</v>
      </c>
      <c r="C19" s="9" t="s">
        <v>99</v>
      </c>
      <c r="D19" s="26">
        <f>ROUND(IFERROR(VLOOKUP(C19,'02_线索来源分解'!$A$26:$D$200,3,0)/4,0),0)</f>
        <v>8</v>
      </c>
      <c r="E19" s="26">
        <f>ROUND(IFERROR(VLOOKUP(C19,'02_线索来源分解'!$A$26:$D$200,4,0)/4,0),0)</f>
        <v>3</v>
      </c>
      <c r="F19" s="26">
        <f>ROUND(IFERROR(VLOOKUP(C19,'02_线索来源分解'!$A$26:$E$200,5,0)/4,0),0)</f>
        <v>314</v>
      </c>
      <c r="G19" s="26">
        <v>0</v>
      </c>
      <c r="H19" s="26">
        <v>0</v>
      </c>
      <c r="I19" s="26">
        <v>0</v>
      </c>
      <c r="J19" s="27">
        <f t="shared" si="0"/>
        <v>0</v>
      </c>
      <c r="K19" s="27">
        <f t="shared" si="1"/>
        <v>0</v>
      </c>
      <c r="L19" s="27">
        <f t="shared" si="2"/>
        <v>0</v>
      </c>
      <c r="M19" s="26">
        <f>ROUND(IFERROR(VLOOKUP(C19,'02_线索来源分解'!$A$26:$G$200,7,0)/4,0),0)</f>
        <v>58800</v>
      </c>
      <c r="N19" s="26">
        <v>0</v>
      </c>
      <c r="O19" s="9" t="s">
        <v>156</v>
      </c>
    </row>
    <row r="20" ht="31" customHeight="1" spans="1:15">
      <c r="A20" s="9" t="s">
        <v>178</v>
      </c>
      <c r="B20" s="9" t="s">
        <v>179</v>
      </c>
      <c r="C20" s="9" t="s">
        <v>100</v>
      </c>
      <c r="D20" s="26">
        <f>ROUND(IFERROR(VLOOKUP(C20,'02_线索来源分解'!$A$26:$D$200,3,0)/4,0),0)</f>
        <v>13</v>
      </c>
      <c r="E20" s="26">
        <f>ROUND(IFERROR(VLOOKUP(C20,'02_线索来源分解'!$A$26:$D$200,4,0)/4,0),0)</f>
        <v>5</v>
      </c>
      <c r="F20" s="26">
        <f>ROUND(IFERROR(VLOOKUP(C20,'02_线索来源分解'!$A$26:$E$200,5,0)/4,0),0)</f>
        <v>490</v>
      </c>
      <c r="G20" s="26">
        <v>0</v>
      </c>
      <c r="H20" s="26">
        <v>0</v>
      </c>
      <c r="I20" s="26">
        <v>0</v>
      </c>
      <c r="J20" s="27">
        <f t="shared" si="0"/>
        <v>0</v>
      </c>
      <c r="K20" s="27">
        <f t="shared" si="1"/>
        <v>0</v>
      </c>
      <c r="L20" s="27">
        <f t="shared" si="2"/>
        <v>0</v>
      </c>
      <c r="M20" s="26">
        <f>ROUND(IFERROR(VLOOKUP(C20,'02_线索来源分解'!$A$26:$G$200,7,0)/4,0),0)</f>
        <v>201600</v>
      </c>
      <c r="N20" s="26">
        <v>0</v>
      </c>
      <c r="O20" s="9" t="s">
        <v>156</v>
      </c>
    </row>
    <row r="21" ht="31" customHeight="1" spans="1:15">
      <c r="A21" s="9" t="s">
        <v>178</v>
      </c>
      <c r="B21" s="9" t="s">
        <v>179</v>
      </c>
      <c r="C21" s="9" t="s">
        <v>101</v>
      </c>
      <c r="D21" s="26">
        <f>ROUND(IFERROR(VLOOKUP(C21,'02_线索来源分解'!$A$26:$D$200,3,0)/4,0),0)</f>
        <v>6</v>
      </c>
      <c r="E21" s="26">
        <f>ROUND(IFERROR(VLOOKUP(C21,'02_线索来源分解'!$A$26:$D$200,4,0)/4,0),0)</f>
        <v>3</v>
      </c>
      <c r="F21" s="26">
        <f>ROUND(IFERROR(VLOOKUP(C21,'02_线索来源分解'!$A$26:$E$200,5,0)/4,0),0)</f>
        <v>235</v>
      </c>
      <c r="G21" s="26">
        <v>0</v>
      </c>
      <c r="H21" s="26">
        <v>0</v>
      </c>
      <c r="I21" s="26">
        <v>0</v>
      </c>
      <c r="J21" s="27">
        <f t="shared" si="0"/>
        <v>0</v>
      </c>
      <c r="K21" s="27">
        <f t="shared" si="1"/>
        <v>0</v>
      </c>
      <c r="L21" s="27">
        <f t="shared" si="2"/>
        <v>0</v>
      </c>
      <c r="M21" s="26">
        <f>ROUND(IFERROR(VLOOKUP(C21,'02_线索来源分解'!$A$26:$G$200,7,0)/4,0),0)</f>
        <v>45700</v>
      </c>
      <c r="N21" s="26">
        <v>0</v>
      </c>
      <c r="O21" s="9" t="s">
        <v>156</v>
      </c>
    </row>
    <row r="22" ht="31" customHeight="1" spans="1:15">
      <c r="A22" s="9" t="s">
        <v>178</v>
      </c>
      <c r="B22" s="9" t="s">
        <v>179</v>
      </c>
      <c r="C22" s="9" t="s">
        <v>102</v>
      </c>
      <c r="D22" s="26">
        <f>ROUND(IFERROR(VLOOKUP(C22,'02_线索来源分解'!$A$26:$D$200,3,0)/4,0),0)</f>
        <v>3</v>
      </c>
      <c r="E22" s="26">
        <f>ROUND(IFERROR(VLOOKUP(C22,'02_线索来源分解'!$A$26:$D$200,4,0)/4,0),0)</f>
        <v>1</v>
      </c>
      <c r="F22" s="26">
        <f>ROUND(IFERROR(VLOOKUP(C22,'02_线索来源分解'!$A$26:$E$200,5,0)/4,0),0)</f>
        <v>118</v>
      </c>
      <c r="G22" s="26">
        <v>0</v>
      </c>
      <c r="H22" s="26">
        <v>0</v>
      </c>
      <c r="I22" s="26">
        <v>0</v>
      </c>
      <c r="J22" s="27">
        <f t="shared" si="0"/>
        <v>0</v>
      </c>
      <c r="K22" s="27">
        <f t="shared" si="1"/>
        <v>0</v>
      </c>
      <c r="L22" s="27">
        <f t="shared" si="2"/>
        <v>0</v>
      </c>
      <c r="M22" s="26">
        <f>ROUND(IFERROR(VLOOKUP(C22,'02_线索来源分解'!$A$26:$G$200,7,0)/4,0),0)</f>
        <v>25000</v>
      </c>
      <c r="N22" s="26">
        <v>0</v>
      </c>
      <c r="O22" s="9" t="s">
        <v>156</v>
      </c>
    </row>
    <row r="23" ht="31" customHeight="1" spans="1:15">
      <c r="A23" s="9" t="s">
        <v>178</v>
      </c>
      <c r="B23" s="9" t="s">
        <v>179</v>
      </c>
      <c r="C23" s="9" t="s">
        <v>103</v>
      </c>
      <c r="D23" s="26">
        <f>ROUND(IFERROR(VLOOKUP(C23,'02_线索来源分解'!$A$26:$D$200,3,0)/4,0),0)</f>
        <v>2</v>
      </c>
      <c r="E23" s="26">
        <f>ROUND(IFERROR(VLOOKUP(C23,'02_线索来源分解'!$A$26:$D$200,4,0)/4,0),0)</f>
        <v>1</v>
      </c>
      <c r="F23" s="26">
        <f>ROUND(IFERROR(VLOOKUP(C23,'02_线索来源分解'!$A$26:$E$200,5,0)/4,0),0)</f>
        <v>59</v>
      </c>
      <c r="G23" s="26">
        <v>0</v>
      </c>
      <c r="H23" s="26">
        <v>0</v>
      </c>
      <c r="I23" s="26">
        <v>0</v>
      </c>
      <c r="J23" s="27">
        <f t="shared" si="0"/>
        <v>0</v>
      </c>
      <c r="K23" s="27">
        <f t="shared" si="1"/>
        <v>0</v>
      </c>
      <c r="L23" s="27">
        <f t="shared" si="2"/>
        <v>0</v>
      </c>
      <c r="M23" s="26">
        <f>ROUND(IFERROR(VLOOKUP(C23,'02_线索来源分解'!$A$26:$G$200,7,0)/4,0),0)</f>
        <v>33375</v>
      </c>
      <c r="N23" s="26">
        <v>0</v>
      </c>
      <c r="O23" s="9" t="s">
        <v>156</v>
      </c>
    </row>
    <row r="24" ht="31" customHeight="1" spans="1:15">
      <c r="A24" s="9" t="s">
        <v>180</v>
      </c>
      <c r="B24" s="9" t="s">
        <v>181</v>
      </c>
      <c r="C24" s="9" t="s">
        <v>97</v>
      </c>
      <c r="D24" s="26">
        <f>ROUND(IFERROR(VLOOKUP(C24,'02_线索来源分解'!$A$26:$D$200,3,0)/4,0),0)</f>
        <v>7</v>
      </c>
      <c r="E24" s="26">
        <f>ROUND(IFERROR(VLOOKUP(C24,'02_线索来源分解'!$A$26:$D$200,4,0)/4,0),0)</f>
        <v>3</v>
      </c>
      <c r="F24" s="26">
        <f>ROUND(IFERROR(VLOOKUP(C24,'02_线索来源分解'!$A$26:$E$200,5,0)/4,0),0)</f>
        <v>255</v>
      </c>
      <c r="G24" s="26">
        <v>0</v>
      </c>
      <c r="H24" s="26">
        <v>0</v>
      </c>
      <c r="I24" s="26">
        <v>0</v>
      </c>
      <c r="J24" s="27">
        <f t="shared" si="0"/>
        <v>0</v>
      </c>
      <c r="K24" s="27">
        <f t="shared" si="1"/>
        <v>0</v>
      </c>
      <c r="L24" s="27">
        <f t="shared" si="2"/>
        <v>0</v>
      </c>
      <c r="M24" s="26">
        <f>ROUND(IFERROR(VLOOKUP(C24,'02_线索来源分解'!$A$26:$G$200,7,0)/4,0),0)</f>
        <v>43600</v>
      </c>
      <c r="N24" s="26">
        <v>0</v>
      </c>
      <c r="O24" s="9" t="s">
        <v>156</v>
      </c>
    </row>
    <row r="25" ht="31" customHeight="1" spans="1:15">
      <c r="A25" s="9" t="s">
        <v>180</v>
      </c>
      <c r="B25" s="9" t="s">
        <v>181</v>
      </c>
      <c r="C25" s="9" t="s">
        <v>99</v>
      </c>
      <c r="D25" s="26">
        <f>ROUND(IFERROR(VLOOKUP(C25,'02_线索来源分解'!$A$26:$D$200,3,0)/4,0),0)</f>
        <v>8</v>
      </c>
      <c r="E25" s="26">
        <f>ROUND(IFERROR(VLOOKUP(C25,'02_线索来源分解'!$A$26:$D$200,4,0)/4,0),0)</f>
        <v>3</v>
      </c>
      <c r="F25" s="26">
        <f>ROUND(IFERROR(VLOOKUP(C25,'02_线索来源分解'!$A$26:$E$200,5,0)/4,0),0)</f>
        <v>314</v>
      </c>
      <c r="G25" s="26">
        <v>0</v>
      </c>
      <c r="H25" s="26">
        <v>0</v>
      </c>
      <c r="I25" s="26">
        <v>0</v>
      </c>
      <c r="J25" s="27">
        <f t="shared" si="0"/>
        <v>0</v>
      </c>
      <c r="K25" s="27">
        <f t="shared" si="1"/>
        <v>0</v>
      </c>
      <c r="L25" s="27">
        <f t="shared" si="2"/>
        <v>0</v>
      </c>
      <c r="M25" s="26">
        <f>ROUND(IFERROR(VLOOKUP(C25,'02_线索来源分解'!$A$26:$G$200,7,0)/4,0),0)</f>
        <v>58800</v>
      </c>
      <c r="N25" s="26">
        <v>0</v>
      </c>
      <c r="O25" s="9" t="s">
        <v>156</v>
      </c>
    </row>
    <row r="26" ht="31" customHeight="1" spans="1:15">
      <c r="A26" s="9" t="s">
        <v>180</v>
      </c>
      <c r="B26" s="9" t="s">
        <v>181</v>
      </c>
      <c r="C26" s="9" t="s">
        <v>100</v>
      </c>
      <c r="D26" s="26">
        <f>ROUND(IFERROR(VLOOKUP(C26,'02_线索来源分解'!$A$26:$D$200,3,0)/4,0),0)</f>
        <v>13</v>
      </c>
      <c r="E26" s="26">
        <f>ROUND(IFERROR(VLOOKUP(C26,'02_线索来源分解'!$A$26:$D$200,4,0)/4,0),0)</f>
        <v>5</v>
      </c>
      <c r="F26" s="26">
        <f>ROUND(IFERROR(VLOOKUP(C26,'02_线索来源分解'!$A$26:$E$200,5,0)/4,0),0)</f>
        <v>490</v>
      </c>
      <c r="G26" s="26">
        <v>0</v>
      </c>
      <c r="H26" s="26">
        <v>0</v>
      </c>
      <c r="I26" s="26">
        <v>0</v>
      </c>
      <c r="J26" s="27">
        <f t="shared" si="0"/>
        <v>0</v>
      </c>
      <c r="K26" s="27">
        <f t="shared" si="1"/>
        <v>0</v>
      </c>
      <c r="L26" s="27">
        <f t="shared" si="2"/>
        <v>0</v>
      </c>
      <c r="M26" s="26">
        <f>ROUND(IFERROR(VLOOKUP(C26,'02_线索来源分解'!$A$26:$G$200,7,0)/4,0),0)</f>
        <v>201600</v>
      </c>
      <c r="N26" s="26">
        <v>0</v>
      </c>
      <c r="O26" s="9" t="s">
        <v>156</v>
      </c>
    </row>
    <row r="27" ht="31" customHeight="1" spans="1:15">
      <c r="A27" s="9" t="s">
        <v>180</v>
      </c>
      <c r="B27" s="9" t="s">
        <v>181</v>
      </c>
      <c r="C27" s="9" t="s">
        <v>101</v>
      </c>
      <c r="D27" s="26">
        <f>ROUND(IFERROR(VLOOKUP(C27,'02_线索来源分解'!$A$26:$D$200,3,0)/4,0),0)</f>
        <v>6</v>
      </c>
      <c r="E27" s="26">
        <f>ROUND(IFERROR(VLOOKUP(C27,'02_线索来源分解'!$A$26:$D$200,4,0)/4,0),0)</f>
        <v>3</v>
      </c>
      <c r="F27" s="26">
        <f>ROUND(IFERROR(VLOOKUP(C27,'02_线索来源分解'!$A$26:$E$200,5,0)/4,0),0)</f>
        <v>235</v>
      </c>
      <c r="G27" s="26">
        <v>0</v>
      </c>
      <c r="H27" s="26">
        <v>0</v>
      </c>
      <c r="I27" s="26">
        <v>0</v>
      </c>
      <c r="J27" s="27">
        <f t="shared" si="0"/>
        <v>0</v>
      </c>
      <c r="K27" s="27">
        <f t="shared" si="1"/>
        <v>0</v>
      </c>
      <c r="L27" s="27">
        <f t="shared" si="2"/>
        <v>0</v>
      </c>
      <c r="M27" s="26">
        <f>ROUND(IFERROR(VLOOKUP(C27,'02_线索来源分解'!$A$26:$G$200,7,0)/4,0),0)</f>
        <v>45700</v>
      </c>
      <c r="N27" s="26">
        <v>0</v>
      </c>
      <c r="O27" s="9" t="s">
        <v>156</v>
      </c>
    </row>
    <row r="28" ht="31" customHeight="1" spans="1:15">
      <c r="A28" s="9" t="s">
        <v>180</v>
      </c>
      <c r="B28" s="9" t="s">
        <v>181</v>
      </c>
      <c r="C28" s="9" t="s">
        <v>102</v>
      </c>
      <c r="D28" s="26">
        <f>ROUND(IFERROR(VLOOKUP(C28,'02_线索来源分解'!$A$26:$D$200,3,0)/4,0),0)</f>
        <v>3</v>
      </c>
      <c r="E28" s="26">
        <f>ROUND(IFERROR(VLOOKUP(C28,'02_线索来源分解'!$A$26:$D$200,4,0)/4,0),0)</f>
        <v>1</v>
      </c>
      <c r="F28" s="26">
        <f>ROUND(IFERROR(VLOOKUP(C28,'02_线索来源分解'!$A$26:$E$200,5,0)/4,0),0)</f>
        <v>118</v>
      </c>
      <c r="G28" s="26">
        <v>0</v>
      </c>
      <c r="H28" s="26">
        <v>0</v>
      </c>
      <c r="I28" s="26">
        <v>0</v>
      </c>
      <c r="J28" s="27">
        <f t="shared" si="0"/>
        <v>0</v>
      </c>
      <c r="K28" s="27">
        <f t="shared" si="1"/>
        <v>0</v>
      </c>
      <c r="L28" s="27">
        <f t="shared" si="2"/>
        <v>0</v>
      </c>
      <c r="M28" s="26">
        <f>ROUND(IFERROR(VLOOKUP(C28,'02_线索来源分解'!$A$26:$G$200,7,0)/4,0),0)</f>
        <v>25000</v>
      </c>
      <c r="N28" s="26">
        <v>0</v>
      </c>
      <c r="O28" s="9" t="s">
        <v>156</v>
      </c>
    </row>
    <row r="29" ht="31" customHeight="1" spans="1:15">
      <c r="A29" s="9" t="s">
        <v>180</v>
      </c>
      <c r="B29" s="9" t="s">
        <v>181</v>
      </c>
      <c r="C29" s="9" t="s">
        <v>103</v>
      </c>
      <c r="D29" s="26">
        <f>ROUND(IFERROR(VLOOKUP(C29,'02_线索来源分解'!$A$26:$D$200,3,0)/4,0),0)</f>
        <v>2</v>
      </c>
      <c r="E29" s="26">
        <f>ROUND(IFERROR(VLOOKUP(C29,'02_线索来源分解'!$A$26:$D$200,4,0)/4,0),0)</f>
        <v>1</v>
      </c>
      <c r="F29" s="26">
        <f>ROUND(IFERROR(VLOOKUP(C29,'02_线索来源分解'!$A$26:$E$200,5,0)/4,0),0)</f>
        <v>59</v>
      </c>
      <c r="G29" s="26">
        <v>0</v>
      </c>
      <c r="H29" s="26">
        <v>0</v>
      </c>
      <c r="I29" s="26">
        <v>0</v>
      </c>
      <c r="J29" s="27">
        <f t="shared" si="0"/>
        <v>0</v>
      </c>
      <c r="K29" s="27">
        <f t="shared" si="1"/>
        <v>0</v>
      </c>
      <c r="L29" s="27">
        <f t="shared" si="2"/>
        <v>0</v>
      </c>
      <c r="M29" s="26">
        <f>ROUND(IFERROR(VLOOKUP(C29,'02_线索来源分解'!$A$26:$G$200,7,0)/4,0),0)</f>
        <v>33375</v>
      </c>
      <c r="N29" s="26">
        <v>0</v>
      </c>
      <c r="O29" s="9" t="s">
        <v>156</v>
      </c>
    </row>
  </sheetData>
  <autoFilter xmlns:etc="http://www.wps.cn/officeDocument/2017/etCustomData" ref="A5:O29" etc:filterBottomFollowUsedRange="0">
    <extLst/>
  </autoFilter>
  <mergeCells count="3">
    <mergeCell ref="A1:O1"/>
    <mergeCell ref="A2:O2"/>
    <mergeCell ref="A4:O4"/>
  </mergeCells>
  <conditionalFormatting sqref="J6:L29">
    <cfRule type="expression" dxfId="0" priority="1" stopIfTrue="1">
      <formula>J6&lt;0.8</formula>
    </cfRule>
  </conditionalFormatting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workbookViewId="0">
      <selection activeCell="A1" sqref="A1:R1"/>
    </sheetView>
  </sheetViews>
  <sheetFormatPr defaultColWidth="9" defaultRowHeight="16.8"/>
  <cols>
    <col min="1" max="1" width="6" customWidth="1"/>
    <col min="2" max="2" width="16" customWidth="1"/>
    <col min="3" max="3" width="12" customWidth="1"/>
    <col min="4" max="7" width="10" customWidth="1"/>
    <col min="8" max="14" width="12" customWidth="1"/>
    <col min="15" max="16" width="10" customWidth="1"/>
    <col min="17" max="18" width="12" customWidth="1"/>
  </cols>
  <sheetData>
    <row r="1" ht="22" customHeight="1" spans="1:18">
      <c r="A1" s="1" t="s">
        <v>182</v>
      </c>
    </row>
    <row r="2" spans="1:18">
      <c r="A2" s="2" t="s">
        <v>183</v>
      </c>
    </row>
    <row r="4" spans="1:18">
      <c r="A4" s="3" t="s">
        <v>184</v>
      </c>
    </row>
    <row r="5" ht="46" customHeight="1" spans="1:18">
      <c r="A5" s="4" t="s">
        <v>185</v>
      </c>
      <c r="B5" s="5">
        <f>COUNT(B12:B34)</f>
        <v>0</v>
      </c>
      <c r="D5" s="4" t="s">
        <v>186</v>
      </c>
      <c r="E5" s="5">
        <f>IF(B5=0,0,B6/B5)</f>
        <v>0</v>
      </c>
    </row>
    <row r="6" ht="61" customHeight="1" spans="1:18">
      <c r="A6" s="4" t="s">
        <v>187</v>
      </c>
      <c r="B6" s="5">
        <f>SUM(G12:G34)</f>
        <v>150</v>
      </c>
      <c r="D6" s="4" t="s">
        <v>188</v>
      </c>
      <c r="E6" s="5">
        <f>IF(B5=0,0,B7/B5)</f>
        <v>0</v>
      </c>
    </row>
    <row r="7" ht="61" customHeight="1" spans="1:18">
      <c r="A7" s="4" t="s">
        <v>189</v>
      </c>
      <c r="B7" s="5">
        <f>SUM(H12:H34)</f>
        <v>5886</v>
      </c>
      <c r="D7" s="4" t="s">
        <v>190</v>
      </c>
      <c r="E7" s="6">
        <f>IF(B5=0,0,B8/B5)</f>
        <v>0</v>
      </c>
    </row>
    <row r="8" ht="76" customHeight="1" spans="1:18">
      <c r="A8" s="4" t="s">
        <v>191</v>
      </c>
      <c r="B8" s="6">
        <f>SUM(J12:J34)</f>
        <v>-627300</v>
      </c>
      <c r="D8" s="4" t="s">
        <v>192</v>
      </c>
      <c r="E8" s="5">
        <f>COUNTIF(J12:J34,"&gt;0")</f>
        <v>3</v>
      </c>
    </row>
    <row r="10" spans="1:18">
      <c r="A10" s="3" t="s">
        <v>193</v>
      </c>
    </row>
    <row r="11" ht="31" customHeight="1" spans="1:18">
      <c r="A11" s="7" t="s">
        <v>194</v>
      </c>
      <c r="B11" s="7" t="s">
        <v>83</v>
      </c>
      <c r="C11" s="7" t="s">
        <v>107</v>
      </c>
      <c r="D11" s="7" t="s">
        <v>112</v>
      </c>
      <c r="E11" s="7" t="s">
        <v>113</v>
      </c>
      <c r="F11" s="7" t="s">
        <v>114</v>
      </c>
      <c r="G11" s="7" t="s">
        <v>115</v>
      </c>
      <c r="H11" s="7" t="s">
        <v>116</v>
      </c>
      <c r="I11" s="7" t="s">
        <v>117</v>
      </c>
      <c r="J11" s="7" t="s">
        <v>195</v>
      </c>
      <c r="K11" s="7" t="s">
        <v>196</v>
      </c>
      <c r="L11" s="7" t="s">
        <v>197</v>
      </c>
      <c r="M11" s="7" t="s">
        <v>198</v>
      </c>
      <c r="N11" s="7" t="s">
        <v>199</v>
      </c>
      <c r="O11" s="7" t="s">
        <v>200</v>
      </c>
      <c r="P11" s="7" t="s">
        <v>201</v>
      </c>
      <c r="Q11" s="7" t="s">
        <v>202</v>
      </c>
      <c r="R11" s="7" t="s">
        <v>203</v>
      </c>
    </row>
    <row r="12" spans="1:18">
      <c r="A12" s="8">
        <f t="shared" ref="A12:A34" si="0">Q12</f>
        <v>6</v>
      </c>
      <c r="B12" s="9" t="str">
        <f>'03_门店顾问分解'!A6</f>
        <v>上海车市店</v>
      </c>
      <c r="C12" s="9" t="str">
        <f>'03_门店顾问分解'!B6</f>
        <v>梁会方</v>
      </c>
      <c r="D12" s="10">
        <f>'03_门店顾问分解'!G6</f>
        <v>4</v>
      </c>
      <c r="E12" s="10">
        <f>'03_门店顾问分解'!H6</f>
        <v>2</v>
      </c>
      <c r="F12" s="10">
        <f>'03_门店顾问分解'!I6</f>
        <v>1</v>
      </c>
      <c r="G12" s="10">
        <f>'03_门店顾问分解'!J6</f>
        <v>7</v>
      </c>
      <c r="H12" s="10">
        <f>'03_门店顾问分解'!K6</f>
        <v>275</v>
      </c>
      <c r="I12" s="10">
        <f>'03_门店顾问分解'!L6</f>
        <v>3</v>
      </c>
      <c r="J12" s="11">
        <f>'03_门店顾问分解'!R6</f>
        <v>4046.15384615384</v>
      </c>
      <c r="K12" s="12">
        <f t="shared" ref="K12:K34" si="1">IF($B$8=0,0,J12/$B$8)</f>
        <v>-0.00645010974996628</v>
      </c>
      <c r="L12" s="8">
        <f t="shared" ref="L12:L34" si="2">_xlfn.RANK.EQ(J12,$J$12:$J$34,0)</f>
        <v>1</v>
      </c>
      <c r="M12" s="8">
        <f t="shared" ref="M12:M34" si="3">_xlfn.RANK.EQ(G12,$G$12:$G$34,0)</f>
        <v>9</v>
      </c>
      <c r="N12" s="13">
        <f t="shared" ref="N12:N34" si="4">IF(G12=0,0,H12/G12)</f>
        <v>39.2857142857143</v>
      </c>
      <c r="O12" s="8">
        <f t="shared" ref="O12:O34" si="5">_xlfn.RANK.EQ(N12,$N$12:$N$34,1)</f>
        <v>14</v>
      </c>
      <c r="P12" s="14">
        <f t="shared" ref="P12:P34" si="6">IFERROR(((J12-MIN($J$12:$J$34))/(MAX($J$12:$J$34)-MIN($J$12:$J$34))*50)+((G12-MIN($G$12:$G$34))/(MAX($G$12:$G$34)-MIN($G$12:$G$34))*30)+((MAX($N$12:$N$34)-N12)/(MAX($N$12:$N$34)-MIN($N$12:$N$34))*20),0)</f>
        <v>81.6071428571428</v>
      </c>
      <c r="Q12" s="8">
        <f t="shared" ref="Q12:Q34" si="7">_xlfn.RANK.EQ(P12,$P$12:$P$34,0)</f>
        <v>6</v>
      </c>
      <c r="R12" s="9" t="str">
        <f t="shared" ref="R12:R34" si="8">IF(J12&lt;0,"优先帮扶：优化费用与线索质量",IF(Q12&lt;=5,"重点冲刺：保持高产并带教",IF(Q12&lt;=12,"稳态提升：强化库存去化","跟进改善：提升转化效率")))</f>
        <v>稳态提升：强化库存去化</v>
      </c>
    </row>
    <row r="13" spans="1:18">
      <c r="A13" s="8">
        <f t="shared" si="0"/>
        <v>11</v>
      </c>
      <c r="B13" s="9" t="str">
        <f>'03_门店顾问分解'!A7</f>
        <v>上海车市店</v>
      </c>
      <c r="C13" s="9" t="str">
        <f>'03_门店顾问分解'!B7</f>
        <v>王毅洋</v>
      </c>
      <c r="D13" s="10">
        <f>'03_门店顾问分解'!G7</f>
        <v>3</v>
      </c>
      <c r="E13" s="10">
        <f>'03_门店顾问分解'!H7</f>
        <v>3</v>
      </c>
      <c r="F13" s="10">
        <f>'03_门店顾问分解'!I7</f>
        <v>1</v>
      </c>
      <c r="G13" s="10">
        <f>'03_门店顾问分解'!J7</f>
        <v>7</v>
      </c>
      <c r="H13" s="10">
        <f>'03_门店顾问分解'!K7</f>
        <v>275</v>
      </c>
      <c r="I13" s="10">
        <f>'03_门店顾问分解'!L7</f>
        <v>3</v>
      </c>
      <c r="J13" s="11">
        <f>'03_门店顾问分解'!R7</f>
        <v>-4453.84615384616</v>
      </c>
      <c r="K13" s="12">
        <f t="shared" si="1"/>
        <v>0.00710002575138875</v>
      </c>
      <c r="L13" s="8">
        <f t="shared" si="2"/>
        <v>11</v>
      </c>
      <c r="M13" s="8">
        <f t="shared" si="3"/>
        <v>9</v>
      </c>
      <c r="N13" s="13">
        <f t="shared" si="4"/>
        <v>39.2857142857143</v>
      </c>
      <c r="O13" s="8">
        <f t="shared" si="5"/>
        <v>14</v>
      </c>
      <c r="P13" s="14">
        <f t="shared" si="6"/>
        <v>77.2847933766071</v>
      </c>
      <c r="Q13" s="8">
        <f t="shared" si="7"/>
        <v>11</v>
      </c>
      <c r="R13" s="9" t="str">
        <f t="shared" si="8"/>
        <v>优先帮扶：优化费用与线索质量</v>
      </c>
    </row>
    <row r="14" spans="1:18">
      <c r="A14" s="8">
        <f t="shared" si="0"/>
        <v>1</v>
      </c>
      <c r="B14" s="9" t="str">
        <f>'03_门店顾问分解'!A8</f>
        <v>上海车市店</v>
      </c>
      <c r="C14" s="9" t="str">
        <f>'03_门店顾问分解'!B8</f>
        <v>马星晨</v>
      </c>
      <c r="D14" s="10">
        <f>'03_门店顾问分解'!G8</f>
        <v>3</v>
      </c>
      <c r="E14" s="10">
        <f>'03_门店顾问分解'!H8</f>
        <v>3</v>
      </c>
      <c r="F14" s="10">
        <f>'03_门店顾问分解'!I8</f>
        <v>0</v>
      </c>
      <c r="G14" s="10">
        <f>'03_门店顾问分解'!J8</f>
        <v>6</v>
      </c>
      <c r="H14" s="10">
        <f>'03_门店顾问分解'!K8</f>
        <v>235</v>
      </c>
      <c r="I14" s="10">
        <f>'03_门店顾问分解'!L8</f>
        <v>2</v>
      </c>
      <c r="J14" s="11">
        <f>'03_门店顾问分解'!R8</f>
        <v>253.846153846156</v>
      </c>
      <c r="K14" s="12">
        <f t="shared" si="1"/>
        <v>-0.000404664680130968</v>
      </c>
      <c r="L14" s="8">
        <f t="shared" si="2"/>
        <v>3</v>
      </c>
      <c r="M14" s="8">
        <f t="shared" si="3"/>
        <v>14</v>
      </c>
      <c r="N14" s="13">
        <f t="shared" si="4"/>
        <v>39.1666666666667</v>
      </c>
      <c r="O14" s="8">
        <f t="shared" si="5"/>
        <v>1</v>
      </c>
      <c r="P14" s="14">
        <f t="shared" si="6"/>
        <v>83.0715671548379</v>
      </c>
      <c r="Q14" s="8">
        <f t="shared" si="7"/>
        <v>1</v>
      </c>
      <c r="R14" s="9" t="str">
        <f t="shared" si="8"/>
        <v>重点冲刺：保持高产并带教</v>
      </c>
    </row>
    <row r="15" spans="1:18">
      <c r="A15" s="8">
        <f t="shared" si="0"/>
        <v>2</v>
      </c>
      <c r="B15" s="9" t="str">
        <f>'03_门店顾问分解'!A9</f>
        <v>上海车市店</v>
      </c>
      <c r="C15" s="9" t="str">
        <f>'03_门店顾问分解'!B9</f>
        <v>王明龙</v>
      </c>
      <c r="D15" s="10">
        <f>'03_门店顾问分解'!G9</f>
        <v>3</v>
      </c>
      <c r="E15" s="10">
        <f>'03_门店顾问分解'!H9</f>
        <v>2</v>
      </c>
      <c r="F15" s="10">
        <f>'03_门店顾问分解'!I9</f>
        <v>1</v>
      </c>
      <c r="G15" s="10">
        <f>'03_门店顾问分解'!J9</f>
        <v>6</v>
      </c>
      <c r="H15" s="10">
        <f>'03_门店顾问分解'!K9</f>
        <v>235</v>
      </c>
      <c r="I15" s="10">
        <f>'03_门店顾问分解'!L9</f>
        <v>2</v>
      </c>
      <c r="J15" s="11">
        <f>'03_门店顾问分解'!R9</f>
        <v>-246.153846153844</v>
      </c>
      <c r="K15" s="12">
        <f t="shared" si="1"/>
        <v>0.000392402114066386</v>
      </c>
      <c r="L15" s="8">
        <f t="shared" si="2"/>
        <v>4</v>
      </c>
      <c r="M15" s="8">
        <f t="shared" si="3"/>
        <v>14</v>
      </c>
      <c r="N15" s="13">
        <f t="shared" si="4"/>
        <v>39.1666666666667</v>
      </c>
      <c r="O15" s="8">
        <f t="shared" si="5"/>
        <v>1</v>
      </c>
      <c r="P15" s="14">
        <f t="shared" si="6"/>
        <v>82.8173113030417</v>
      </c>
      <c r="Q15" s="8">
        <f t="shared" si="7"/>
        <v>2</v>
      </c>
      <c r="R15" s="9" t="str">
        <f t="shared" si="8"/>
        <v>优先帮扶：优化费用与线索质量</v>
      </c>
    </row>
    <row r="16" spans="1:18">
      <c r="A16" s="8">
        <f t="shared" si="0"/>
        <v>8</v>
      </c>
      <c r="B16" s="9" t="str">
        <f>'03_门店顾问分解'!A10</f>
        <v>上海茸兴店</v>
      </c>
      <c r="C16" s="9" t="str">
        <f>'03_门店顾问分解'!B10</f>
        <v>李宋坚</v>
      </c>
      <c r="D16" s="10">
        <f>'03_门店顾问分解'!G10</f>
        <v>4</v>
      </c>
      <c r="E16" s="10">
        <f>'03_门店顾问分解'!H10</f>
        <v>2</v>
      </c>
      <c r="F16" s="10">
        <f>'03_门店顾问分解'!I10</f>
        <v>1</v>
      </c>
      <c r="G16" s="10">
        <f>'03_门店顾问分解'!J10</f>
        <v>7</v>
      </c>
      <c r="H16" s="10">
        <f>'03_门店顾问分解'!K10</f>
        <v>275</v>
      </c>
      <c r="I16" s="10">
        <f>'03_门店顾问分解'!L10</f>
        <v>3</v>
      </c>
      <c r="J16" s="11">
        <f>'03_门店顾问分解'!R10</f>
        <v>-450</v>
      </c>
      <c r="K16" s="12">
        <f t="shared" si="1"/>
        <v>0.000717360114777619</v>
      </c>
      <c r="L16" s="8">
        <f t="shared" si="2"/>
        <v>5</v>
      </c>
      <c r="M16" s="8">
        <f t="shared" si="3"/>
        <v>9</v>
      </c>
      <c r="N16" s="13">
        <f t="shared" si="4"/>
        <v>39.2857142857143</v>
      </c>
      <c r="O16" s="8">
        <f t="shared" si="5"/>
        <v>14</v>
      </c>
      <c r="P16" s="14">
        <f t="shared" si="6"/>
        <v>79.3207960052214</v>
      </c>
      <c r="Q16" s="8">
        <f t="shared" si="7"/>
        <v>8</v>
      </c>
      <c r="R16" s="9" t="str">
        <f t="shared" si="8"/>
        <v>优先帮扶：优化费用与线索质量</v>
      </c>
    </row>
    <row r="17" spans="1:18">
      <c r="A17" s="8">
        <f t="shared" si="0"/>
        <v>12</v>
      </c>
      <c r="B17" s="9" t="str">
        <f>'03_门店顾问分解'!A11</f>
        <v>上海茸兴店</v>
      </c>
      <c r="C17" s="9" t="str">
        <f>'03_门店顾问分解'!B11</f>
        <v>顾浩</v>
      </c>
      <c r="D17" s="10">
        <f>'03_门店顾问分解'!G11</f>
        <v>3</v>
      </c>
      <c r="E17" s="10">
        <f>'03_门店顾问分解'!H11</f>
        <v>3</v>
      </c>
      <c r="F17" s="10">
        <f>'03_门店顾问分解'!I11</f>
        <v>1</v>
      </c>
      <c r="G17" s="10">
        <f>'03_门店顾问分解'!J11</f>
        <v>7</v>
      </c>
      <c r="H17" s="10">
        <f>'03_门店顾问分解'!K11</f>
        <v>275</v>
      </c>
      <c r="I17" s="10">
        <f>'03_门店顾问分解'!L11</f>
        <v>3</v>
      </c>
      <c r="J17" s="11">
        <f>'03_门店顾问分解'!R11</f>
        <v>-8950.00000000001</v>
      </c>
      <c r="K17" s="12">
        <f t="shared" si="1"/>
        <v>0.0142674956161326</v>
      </c>
      <c r="L17" s="8">
        <f t="shared" si="2"/>
        <v>15</v>
      </c>
      <c r="M17" s="8">
        <f t="shared" si="3"/>
        <v>9</v>
      </c>
      <c r="N17" s="13">
        <f t="shared" si="4"/>
        <v>39.2857142857143</v>
      </c>
      <c r="O17" s="8">
        <f t="shared" si="5"/>
        <v>14</v>
      </c>
      <c r="P17" s="14">
        <f t="shared" si="6"/>
        <v>74.9984465246857</v>
      </c>
      <c r="Q17" s="8">
        <f t="shared" si="7"/>
        <v>12</v>
      </c>
      <c r="R17" s="9" t="str">
        <f t="shared" si="8"/>
        <v>优先帮扶：优化费用与线索质量</v>
      </c>
    </row>
    <row r="18" spans="1:18">
      <c r="A18" s="8">
        <f t="shared" si="0"/>
        <v>8</v>
      </c>
      <c r="B18" s="9" t="str">
        <f>'03_门店顾问分解'!A12</f>
        <v>上海茸兴店</v>
      </c>
      <c r="C18" s="9" t="str">
        <f>'03_门店顾问分解'!B12</f>
        <v>符陆彬</v>
      </c>
      <c r="D18" s="10">
        <f>'03_门店顾问分解'!G12</f>
        <v>4</v>
      </c>
      <c r="E18" s="10">
        <f>'03_门店顾问分解'!H12</f>
        <v>2</v>
      </c>
      <c r="F18" s="10">
        <f>'03_门店顾问分解'!I12</f>
        <v>1</v>
      </c>
      <c r="G18" s="10">
        <f>'03_门店顾问分解'!J12</f>
        <v>7</v>
      </c>
      <c r="H18" s="10">
        <f>'03_门店顾问分解'!K12</f>
        <v>275</v>
      </c>
      <c r="I18" s="10">
        <f>'03_门店顾问分解'!L12</f>
        <v>3</v>
      </c>
      <c r="J18" s="11">
        <f>'03_门店顾问分解'!R12</f>
        <v>-450</v>
      </c>
      <c r="K18" s="12">
        <f t="shared" si="1"/>
        <v>0.000717360114777619</v>
      </c>
      <c r="L18" s="8">
        <f t="shared" si="2"/>
        <v>5</v>
      </c>
      <c r="M18" s="8">
        <f t="shared" si="3"/>
        <v>9</v>
      </c>
      <c r="N18" s="13">
        <f t="shared" si="4"/>
        <v>39.2857142857143</v>
      </c>
      <c r="O18" s="8">
        <f t="shared" si="5"/>
        <v>14</v>
      </c>
      <c r="P18" s="14">
        <f t="shared" si="6"/>
        <v>79.3207960052214</v>
      </c>
      <c r="Q18" s="8">
        <f t="shared" si="7"/>
        <v>8</v>
      </c>
      <c r="R18" s="9" t="str">
        <f t="shared" si="8"/>
        <v>优先帮扶：优化费用与线索质量</v>
      </c>
    </row>
    <row r="19" spans="1:18">
      <c r="A19" s="8">
        <f t="shared" si="0"/>
        <v>7</v>
      </c>
      <c r="B19" s="9" t="str">
        <f>'03_门店顾问分解'!A13</f>
        <v>上海茸兴店</v>
      </c>
      <c r="C19" s="9" t="str">
        <f>'03_门店顾问分解'!B13</f>
        <v>高宏展</v>
      </c>
      <c r="D19" s="10">
        <f>'03_门店顾问分解'!G13</f>
        <v>3</v>
      </c>
      <c r="E19" s="10">
        <f>'03_门店顾问分解'!H13</f>
        <v>3</v>
      </c>
      <c r="F19" s="10">
        <f>'03_门店顾问分解'!I13</f>
        <v>0</v>
      </c>
      <c r="G19" s="10">
        <f>'03_门店顾问分解'!J13</f>
        <v>6</v>
      </c>
      <c r="H19" s="10">
        <f>'03_门店顾问分解'!K13</f>
        <v>235</v>
      </c>
      <c r="I19" s="10">
        <f>'03_门店顾问分解'!L13</f>
        <v>2</v>
      </c>
      <c r="J19" s="11">
        <f>'03_门店顾问分解'!R13</f>
        <v>-3600</v>
      </c>
      <c r="K19" s="12">
        <f t="shared" si="1"/>
        <v>0.00573888091822095</v>
      </c>
      <c r="L19" s="8">
        <f t="shared" si="2"/>
        <v>10</v>
      </c>
      <c r="M19" s="8">
        <f t="shared" si="3"/>
        <v>14</v>
      </c>
      <c r="N19" s="13">
        <f t="shared" si="4"/>
        <v>39.1666666666667</v>
      </c>
      <c r="O19" s="8">
        <f t="shared" si="5"/>
        <v>1</v>
      </c>
      <c r="P19" s="14">
        <f t="shared" si="6"/>
        <v>81.1118412817624</v>
      </c>
      <c r="Q19" s="8">
        <f t="shared" si="7"/>
        <v>7</v>
      </c>
      <c r="R19" s="9" t="str">
        <f t="shared" si="8"/>
        <v>优先帮扶：优化费用与线索质量</v>
      </c>
    </row>
    <row r="20" spans="1:18">
      <c r="A20" s="8">
        <f t="shared" si="0"/>
        <v>10</v>
      </c>
      <c r="B20" s="9" t="str">
        <f>'03_门店顾问分解'!A14</f>
        <v>上海茸兴店</v>
      </c>
      <c r="C20" s="9" t="str">
        <f>'03_门店顾问分解'!B14</f>
        <v>田汨龙</v>
      </c>
      <c r="D20" s="10">
        <f>'03_门店顾问分解'!G14</f>
        <v>3</v>
      </c>
      <c r="E20" s="10">
        <f>'03_门店顾问分解'!H14</f>
        <v>2</v>
      </c>
      <c r="F20" s="10">
        <f>'03_门店顾问分解'!I14</f>
        <v>0</v>
      </c>
      <c r="G20" s="10">
        <f>'03_门店顾问分解'!J14</f>
        <v>5</v>
      </c>
      <c r="H20" s="10">
        <f>'03_门店顾问分解'!K14</f>
        <v>196</v>
      </c>
      <c r="I20" s="10">
        <f>'03_门店顾问分解'!L14</f>
        <v>2</v>
      </c>
      <c r="J20" s="11">
        <f>'03_门店顾问分解'!R14</f>
        <v>1250</v>
      </c>
      <c r="K20" s="12">
        <f t="shared" si="1"/>
        <v>-0.00199266698549338</v>
      </c>
      <c r="L20" s="8">
        <f t="shared" si="2"/>
        <v>2</v>
      </c>
      <c r="M20" s="8">
        <f t="shared" si="3"/>
        <v>18</v>
      </c>
      <c r="N20" s="13">
        <f t="shared" si="4"/>
        <v>39.2</v>
      </c>
      <c r="O20" s="8">
        <f t="shared" si="5"/>
        <v>5</v>
      </c>
      <c r="P20" s="14">
        <f t="shared" si="6"/>
        <v>77.8281230441855</v>
      </c>
      <c r="Q20" s="8">
        <f t="shared" si="7"/>
        <v>10</v>
      </c>
      <c r="R20" s="9" t="str">
        <f t="shared" si="8"/>
        <v>稳态提升：强化库存去化</v>
      </c>
    </row>
    <row r="21" spans="1:18">
      <c r="A21" s="8">
        <f t="shared" si="0"/>
        <v>15</v>
      </c>
      <c r="B21" s="9" t="str">
        <f>'03_门店顾问分解'!A15</f>
        <v>上海松江店</v>
      </c>
      <c r="C21" s="9" t="str">
        <f>'03_门店顾问分解'!B15</f>
        <v>武利海</v>
      </c>
      <c r="D21" s="10">
        <f>'03_门店顾问分解'!G15</f>
        <v>5</v>
      </c>
      <c r="E21" s="10">
        <f>'03_门店顾问分解'!H15</f>
        <v>4</v>
      </c>
      <c r="F21" s="10">
        <f>'03_门店顾问分解'!I15</f>
        <v>1</v>
      </c>
      <c r="G21" s="10">
        <f>'03_门店顾问分解'!J15</f>
        <v>10</v>
      </c>
      <c r="H21" s="10">
        <f>'03_门店顾问分解'!K15</f>
        <v>392</v>
      </c>
      <c r="I21" s="10">
        <f>'03_门店顾问分解'!L15</f>
        <v>4</v>
      </c>
      <c r="J21" s="11">
        <f>'03_门店顾问分解'!R15</f>
        <v>-94280</v>
      </c>
      <c r="K21" s="12">
        <f t="shared" si="1"/>
        <v>0.150294914713853</v>
      </c>
      <c r="L21" s="8">
        <f t="shared" si="2"/>
        <v>19</v>
      </c>
      <c r="M21" s="8">
        <f t="shared" si="3"/>
        <v>1</v>
      </c>
      <c r="N21" s="13">
        <f t="shared" si="4"/>
        <v>39.2</v>
      </c>
      <c r="O21" s="8">
        <f t="shared" si="5"/>
        <v>5</v>
      </c>
      <c r="P21" s="14">
        <f t="shared" si="6"/>
        <v>47.9999999999997</v>
      </c>
      <c r="Q21" s="8">
        <f t="shared" si="7"/>
        <v>15</v>
      </c>
      <c r="R21" s="9" t="str">
        <f t="shared" si="8"/>
        <v>优先帮扶：优化费用与线索质量</v>
      </c>
    </row>
    <row r="22" spans="1:18">
      <c r="A22" s="8">
        <f t="shared" si="0"/>
        <v>15</v>
      </c>
      <c r="B22" s="9" t="str">
        <f>'03_门店顾问分解'!A16</f>
        <v>上海松江店</v>
      </c>
      <c r="C22" s="9" t="str">
        <f>'03_门店顾问分解'!B16</f>
        <v>黄大海</v>
      </c>
      <c r="D22" s="10">
        <f>'03_门店顾问分解'!G16</f>
        <v>5</v>
      </c>
      <c r="E22" s="10">
        <f>'03_门店顾问分解'!H16</f>
        <v>4</v>
      </c>
      <c r="F22" s="10">
        <f>'03_门店顾问分解'!I16</f>
        <v>1</v>
      </c>
      <c r="G22" s="10">
        <f>'03_门店顾问分解'!J16</f>
        <v>10</v>
      </c>
      <c r="H22" s="10">
        <f>'03_门店顾问分解'!K16</f>
        <v>392</v>
      </c>
      <c r="I22" s="10">
        <f>'03_门店顾问分解'!L16</f>
        <v>4</v>
      </c>
      <c r="J22" s="11">
        <f>'03_门店顾问分解'!R16</f>
        <v>-94280</v>
      </c>
      <c r="K22" s="12">
        <f t="shared" si="1"/>
        <v>0.150294914713853</v>
      </c>
      <c r="L22" s="8">
        <f t="shared" si="2"/>
        <v>19</v>
      </c>
      <c r="M22" s="8">
        <f t="shared" si="3"/>
        <v>1</v>
      </c>
      <c r="N22" s="13">
        <f t="shared" si="4"/>
        <v>39.2</v>
      </c>
      <c r="O22" s="8">
        <f t="shared" si="5"/>
        <v>5</v>
      </c>
      <c r="P22" s="14">
        <f t="shared" si="6"/>
        <v>47.9999999999997</v>
      </c>
      <c r="Q22" s="8">
        <f t="shared" si="7"/>
        <v>15</v>
      </c>
      <c r="R22" s="9" t="str">
        <f t="shared" si="8"/>
        <v>优先帮扶：优化费用与线索质量</v>
      </c>
    </row>
    <row r="23" spans="1:18">
      <c r="A23" s="8">
        <f t="shared" si="0"/>
        <v>15</v>
      </c>
      <c r="B23" s="9" t="str">
        <f>'03_门店顾问分解'!A17</f>
        <v>上海松江店</v>
      </c>
      <c r="C23" s="9" t="str">
        <f>'03_门店顾问分解'!B17</f>
        <v>高荟萃</v>
      </c>
      <c r="D23" s="10">
        <f>'03_门店顾问分解'!G17</f>
        <v>5</v>
      </c>
      <c r="E23" s="10">
        <f>'03_门店顾问分解'!H17</f>
        <v>4</v>
      </c>
      <c r="F23" s="10">
        <f>'03_门店顾问分解'!I17</f>
        <v>1</v>
      </c>
      <c r="G23" s="10">
        <f>'03_门店顾问分解'!J17</f>
        <v>10</v>
      </c>
      <c r="H23" s="10">
        <f>'03_门店顾问分解'!K17</f>
        <v>392</v>
      </c>
      <c r="I23" s="10">
        <f>'03_门店顾问分解'!L17</f>
        <v>4</v>
      </c>
      <c r="J23" s="11">
        <f>'03_门店顾问分解'!R17</f>
        <v>-94280</v>
      </c>
      <c r="K23" s="12">
        <f t="shared" si="1"/>
        <v>0.150294914713853</v>
      </c>
      <c r="L23" s="8">
        <f t="shared" si="2"/>
        <v>19</v>
      </c>
      <c r="M23" s="8">
        <f t="shared" si="3"/>
        <v>1</v>
      </c>
      <c r="N23" s="13">
        <f t="shared" si="4"/>
        <v>39.2</v>
      </c>
      <c r="O23" s="8">
        <f t="shared" si="5"/>
        <v>5</v>
      </c>
      <c r="P23" s="14">
        <f t="shared" si="6"/>
        <v>47.9999999999997</v>
      </c>
      <c r="Q23" s="8">
        <f t="shared" si="7"/>
        <v>15</v>
      </c>
      <c r="R23" s="9" t="str">
        <f t="shared" si="8"/>
        <v>优先帮扶：优化费用与线索质量</v>
      </c>
    </row>
    <row r="24" spans="1:18">
      <c r="A24" s="8">
        <f t="shared" si="0"/>
        <v>15</v>
      </c>
      <c r="B24" s="9" t="str">
        <f>'03_门店顾问分解'!A18</f>
        <v>上海松江店</v>
      </c>
      <c r="C24" s="9" t="str">
        <f>'03_门店顾问分解'!B18</f>
        <v>姚佳磊</v>
      </c>
      <c r="D24" s="10">
        <f>'03_门店顾问分解'!G18</f>
        <v>5</v>
      </c>
      <c r="E24" s="10">
        <f>'03_门店顾问分解'!H18</f>
        <v>4</v>
      </c>
      <c r="F24" s="10">
        <f>'03_门店顾问分解'!I18</f>
        <v>1</v>
      </c>
      <c r="G24" s="10">
        <f>'03_门店顾问分解'!J18</f>
        <v>10</v>
      </c>
      <c r="H24" s="10">
        <f>'03_门店顾问分解'!K18</f>
        <v>392</v>
      </c>
      <c r="I24" s="10">
        <f>'03_门店顾问分解'!L18</f>
        <v>4</v>
      </c>
      <c r="J24" s="11">
        <f>'03_门店顾问分解'!R18</f>
        <v>-94280</v>
      </c>
      <c r="K24" s="12">
        <f t="shared" si="1"/>
        <v>0.150294914713853</v>
      </c>
      <c r="L24" s="8">
        <f t="shared" si="2"/>
        <v>19</v>
      </c>
      <c r="M24" s="8">
        <f t="shared" si="3"/>
        <v>1</v>
      </c>
      <c r="N24" s="13">
        <f t="shared" si="4"/>
        <v>39.2</v>
      </c>
      <c r="O24" s="8">
        <f t="shared" si="5"/>
        <v>5</v>
      </c>
      <c r="P24" s="14">
        <f t="shared" si="6"/>
        <v>47.9999999999997</v>
      </c>
      <c r="Q24" s="8">
        <f t="shared" si="7"/>
        <v>15</v>
      </c>
      <c r="R24" s="9" t="str">
        <f t="shared" si="8"/>
        <v>优先帮扶：优化费用与线索质量</v>
      </c>
    </row>
    <row r="25" spans="1:18">
      <c r="A25" s="8">
        <f t="shared" si="0"/>
        <v>15</v>
      </c>
      <c r="B25" s="9" t="str">
        <f>'03_门店顾问分解'!A19</f>
        <v>上海松江店</v>
      </c>
      <c r="C25" s="9" t="str">
        <f>'03_门店顾问分解'!B19</f>
        <v>张子君</v>
      </c>
      <c r="D25" s="10">
        <f>'03_门店顾问分解'!G19</f>
        <v>5</v>
      </c>
      <c r="E25" s="10">
        <f>'03_门店顾问分解'!H19</f>
        <v>4</v>
      </c>
      <c r="F25" s="10">
        <f>'03_门店顾问分解'!I19</f>
        <v>1</v>
      </c>
      <c r="G25" s="10">
        <f>'03_门店顾问分解'!J19</f>
        <v>10</v>
      </c>
      <c r="H25" s="10">
        <f>'03_门店顾问分解'!K19</f>
        <v>392</v>
      </c>
      <c r="I25" s="10">
        <f>'03_门店顾问分解'!L19</f>
        <v>4</v>
      </c>
      <c r="J25" s="11">
        <f>'03_门店顾问分解'!R19</f>
        <v>-94280</v>
      </c>
      <c r="K25" s="12">
        <f t="shared" si="1"/>
        <v>0.150294914713853</v>
      </c>
      <c r="L25" s="8">
        <f t="shared" si="2"/>
        <v>19</v>
      </c>
      <c r="M25" s="8">
        <f t="shared" si="3"/>
        <v>1</v>
      </c>
      <c r="N25" s="13">
        <f t="shared" si="4"/>
        <v>39.2</v>
      </c>
      <c r="O25" s="8">
        <f t="shared" si="5"/>
        <v>5</v>
      </c>
      <c r="P25" s="14">
        <f t="shared" si="6"/>
        <v>47.9999999999997</v>
      </c>
      <c r="Q25" s="8">
        <f t="shared" si="7"/>
        <v>15</v>
      </c>
      <c r="R25" s="9" t="str">
        <f t="shared" si="8"/>
        <v>优先帮扶：优化费用与线索质量</v>
      </c>
    </row>
    <row r="26" spans="1:18">
      <c r="A26" s="8">
        <f t="shared" si="0"/>
        <v>4</v>
      </c>
      <c r="B26" s="9" t="str">
        <f>'03_门店顾问分解'!A20</f>
        <v>上海龙湖奉贤天街店</v>
      </c>
      <c r="C26" s="9" t="str">
        <f>'03_门店顾问分解'!B20</f>
        <v>陈佳庆</v>
      </c>
      <c r="D26" s="10">
        <f>'03_门店顾问分解'!G20</f>
        <v>4</v>
      </c>
      <c r="E26" s="10">
        <f>'03_门店顾问分解'!H20</f>
        <v>3</v>
      </c>
      <c r="F26" s="10">
        <f>'03_门店顾问分解'!I20</f>
        <v>1</v>
      </c>
      <c r="G26" s="10">
        <f>'03_门店顾问分解'!J20</f>
        <v>8</v>
      </c>
      <c r="H26" s="10">
        <f>'03_门店顾问分解'!K20</f>
        <v>314</v>
      </c>
      <c r="I26" s="10">
        <f>'03_门店顾问分解'!L20</f>
        <v>3</v>
      </c>
      <c r="J26" s="11">
        <f>'03_门店顾问分解'!R20</f>
        <v>-7433.33333333334</v>
      </c>
      <c r="K26" s="12">
        <f t="shared" si="1"/>
        <v>0.0118497263404007</v>
      </c>
      <c r="L26" s="8">
        <f t="shared" si="2"/>
        <v>13</v>
      </c>
      <c r="M26" s="8">
        <f t="shared" si="3"/>
        <v>6</v>
      </c>
      <c r="N26" s="13">
        <f t="shared" si="4"/>
        <v>39.25</v>
      </c>
      <c r="O26" s="8">
        <f t="shared" si="5"/>
        <v>11</v>
      </c>
      <c r="P26" s="14">
        <f t="shared" si="6"/>
        <v>81.6625464179913</v>
      </c>
      <c r="Q26" s="8">
        <f t="shared" si="7"/>
        <v>4</v>
      </c>
      <c r="R26" s="9" t="str">
        <f t="shared" si="8"/>
        <v>优先帮扶：优化费用与线索质量</v>
      </c>
    </row>
    <row r="27" spans="1:18">
      <c r="A27" s="8">
        <f t="shared" si="0"/>
        <v>3</v>
      </c>
      <c r="B27" s="9" t="str">
        <f>'03_门店顾问分解'!A21</f>
        <v>上海龙湖奉贤天街店</v>
      </c>
      <c r="C27" s="9" t="str">
        <f>'03_门店顾问分解'!B21</f>
        <v>陆佳乐</v>
      </c>
      <c r="D27" s="10">
        <f>'03_门店顾问分解'!G21</f>
        <v>4</v>
      </c>
      <c r="E27" s="10">
        <f>'03_门店顾问分解'!H21</f>
        <v>4</v>
      </c>
      <c r="F27" s="10">
        <f>'03_门店顾问分解'!I21</f>
        <v>0</v>
      </c>
      <c r="G27" s="10">
        <f>'03_门店顾问分解'!J21</f>
        <v>8</v>
      </c>
      <c r="H27" s="10">
        <f>'03_门店顾问分解'!K21</f>
        <v>314</v>
      </c>
      <c r="I27" s="10">
        <f>'03_门店顾问分解'!L21</f>
        <v>3</v>
      </c>
      <c r="J27" s="11">
        <f>'03_门店顾问分解'!R21</f>
        <v>-6933.33333333334</v>
      </c>
      <c r="K27" s="12">
        <f t="shared" si="1"/>
        <v>0.0110526595462033</v>
      </c>
      <c r="L27" s="8">
        <f t="shared" si="2"/>
        <v>12</v>
      </c>
      <c r="M27" s="8">
        <f t="shared" si="3"/>
        <v>6</v>
      </c>
      <c r="N27" s="13">
        <f t="shared" si="4"/>
        <v>39.25</v>
      </c>
      <c r="O27" s="8">
        <f t="shared" si="5"/>
        <v>11</v>
      </c>
      <c r="P27" s="14">
        <f t="shared" si="6"/>
        <v>81.9168022697875</v>
      </c>
      <c r="Q27" s="8">
        <f t="shared" si="7"/>
        <v>3</v>
      </c>
      <c r="R27" s="9" t="str">
        <f t="shared" si="8"/>
        <v>优先帮扶：优化费用与线索质量</v>
      </c>
    </row>
    <row r="28" spans="1:18">
      <c r="A28" s="8">
        <f t="shared" si="0"/>
        <v>4</v>
      </c>
      <c r="B28" s="9" t="str">
        <f>'03_门店顾问分解'!A22</f>
        <v>上海龙湖奉贤天街店</v>
      </c>
      <c r="C28" s="9" t="str">
        <f>'03_门店顾问分解'!B22</f>
        <v>汪兴旺</v>
      </c>
      <c r="D28" s="10">
        <f>'03_门店顾问分解'!G22</f>
        <v>4</v>
      </c>
      <c r="E28" s="10">
        <f>'03_门店顾问分解'!H22</f>
        <v>3</v>
      </c>
      <c r="F28" s="10">
        <f>'03_门店顾问分解'!I22</f>
        <v>1</v>
      </c>
      <c r="G28" s="10">
        <f>'03_门店顾问分解'!J22</f>
        <v>8</v>
      </c>
      <c r="H28" s="10">
        <f>'03_门店顾问分解'!K22</f>
        <v>314</v>
      </c>
      <c r="I28" s="10">
        <f>'03_门店顾问分解'!L22</f>
        <v>3</v>
      </c>
      <c r="J28" s="11">
        <f>'03_门店顾问分解'!R22</f>
        <v>-7433.33333333334</v>
      </c>
      <c r="K28" s="12">
        <f t="shared" si="1"/>
        <v>0.0118497263404007</v>
      </c>
      <c r="L28" s="8">
        <f t="shared" si="2"/>
        <v>13</v>
      </c>
      <c r="M28" s="8">
        <f t="shared" si="3"/>
        <v>6</v>
      </c>
      <c r="N28" s="13">
        <f t="shared" si="4"/>
        <v>39.25</v>
      </c>
      <c r="O28" s="8">
        <f t="shared" si="5"/>
        <v>11</v>
      </c>
      <c r="P28" s="14">
        <f t="shared" si="6"/>
        <v>81.6625464179913</v>
      </c>
      <c r="Q28" s="8">
        <f t="shared" si="7"/>
        <v>4</v>
      </c>
      <c r="R28" s="9" t="str">
        <f t="shared" si="8"/>
        <v>优先帮扶：优化费用与线索质量</v>
      </c>
    </row>
    <row r="29" spans="1:18">
      <c r="A29" s="8">
        <f t="shared" si="0"/>
        <v>13</v>
      </c>
      <c r="B29" s="9" t="str">
        <f>'03_门店顾问分解'!A23</f>
        <v>上海沪青平店</v>
      </c>
      <c r="C29" s="9" t="str">
        <f>'03_门店顾问分解'!B23</f>
        <v>周浩</v>
      </c>
      <c r="D29" s="10">
        <f>'03_门店顾问分解'!G23</f>
        <v>1</v>
      </c>
      <c r="E29" s="10">
        <f>'03_门店顾问分解'!H23</f>
        <v>1</v>
      </c>
      <c r="F29" s="10">
        <f>'03_门店顾问分解'!I23</f>
        <v>1</v>
      </c>
      <c r="G29" s="10">
        <f>'03_门店顾问分解'!J23</f>
        <v>3</v>
      </c>
      <c r="H29" s="10">
        <f>'03_门店顾问分解'!K23</f>
        <v>118</v>
      </c>
      <c r="I29" s="10">
        <f>'03_门店顾问分解'!L23</f>
        <v>1</v>
      </c>
      <c r="J29" s="11">
        <f>'03_门店顾问分解'!R23</f>
        <v>-9500</v>
      </c>
      <c r="K29" s="12">
        <f t="shared" si="1"/>
        <v>0.0151442690897497</v>
      </c>
      <c r="L29" s="8">
        <f t="shared" si="2"/>
        <v>16</v>
      </c>
      <c r="M29" s="8">
        <f t="shared" si="3"/>
        <v>19</v>
      </c>
      <c r="N29" s="13">
        <f t="shared" si="4"/>
        <v>39.3333333333333</v>
      </c>
      <c r="O29" s="8">
        <f t="shared" si="5"/>
        <v>19</v>
      </c>
      <c r="P29" s="14">
        <f t="shared" si="6"/>
        <v>56.8616222305668</v>
      </c>
      <c r="Q29" s="8">
        <f t="shared" si="7"/>
        <v>13</v>
      </c>
      <c r="R29" s="9" t="str">
        <f t="shared" si="8"/>
        <v>优先帮扶：优化费用与线索质量</v>
      </c>
    </row>
    <row r="30" spans="1:18">
      <c r="A30" s="8">
        <f t="shared" si="0"/>
        <v>13</v>
      </c>
      <c r="B30" s="9" t="str">
        <f>'03_门店顾问分解'!A24</f>
        <v>上海沪青平店</v>
      </c>
      <c r="C30" s="9" t="str">
        <f>'03_门店顾问分解'!B24</f>
        <v>魏子鑫</v>
      </c>
      <c r="D30" s="10">
        <f>'03_门店顾问分解'!G24</f>
        <v>1</v>
      </c>
      <c r="E30" s="10">
        <f>'03_门店顾问分解'!H24</f>
        <v>1</v>
      </c>
      <c r="F30" s="10">
        <f>'03_门店顾问分解'!I24</f>
        <v>1</v>
      </c>
      <c r="G30" s="10">
        <f>'03_门店顾问分解'!J24</f>
        <v>3</v>
      </c>
      <c r="H30" s="10">
        <f>'03_门店顾问分解'!K24</f>
        <v>118</v>
      </c>
      <c r="I30" s="10">
        <f>'03_门店顾问分解'!L24</f>
        <v>1</v>
      </c>
      <c r="J30" s="11">
        <f>'03_门店顾问分解'!R24</f>
        <v>-9500</v>
      </c>
      <c r="K30" s="12">
        <f t="shared" si="1"/>
        <v>0.0151442690897497</v>
      </c>
      <c r="L30" s="8">
        <f t="shared" si="2"/>
        <v>16</v>
      </c>
      <c r="M30" s="8">
        <f t="shared" si="3"/>
        <v>19</v>
      </c>
      <c r="N30" s="13">
        <f t="shared" si="4"/>
        <v>39.3333333333333</v>
      </c>
      <c r="O30" s="8">
        <f t="shared" si="5"/>
        <v>19</v>
      </c>
      <c r="P30" s="14">
        <f t="shared" si="6"/>
        <v>56.8616222305668</v>
      </c>
      <c r="Q30" s="8">
        <f t="shared" si="7"/>
        <v>13</v>
      </c>
      <c r="R30" s="9" t="str">
        <f t="shared" si="8"/>
        <v>优先帮扶：优化费用与线索质量</v>
      </c>
    </row>
    <row r="31" spans="1:18">
      <c r="A31" s="8">
        <f t="shared" si="0"/>
        <v>20</v>
      </c>
      <c r="B31" s="9" t="str">
        <f>'03_门店顾问分解'!A25</f>
        <v>上海沪青平店</v>
      </c>
      <c r="C31" s="9" t="str">
        <f>'03_门店顾问分解'!B25</f>
        <v>朱继业</v>
      </c>
      <c r="D31" s="10">
        <f>'03_门店顾问分解'!G25</f>
        <v>1</v>
      </c>
      <c r="E31" s="10">
        <f>'03_门店顾问分解'!H25</f>
        <v>1</v>
      </c>
      <c r="F31" s="10">
        <f>'03_门店顾问分解'!I25</f>
        <v>0</v>
      </c>
      <c r="G31" s="10">
        <f>'03_门店顾问分解'!J25</f>
        <v>2</v>
      </c>
      <c r="H31" s="10">
        <f>'03_门店顾问分解'!K25</f>
        <v>79</v>
      </c>
      <c r="I31" s="10">
        <f>'03_门店顾问分解'!L25</f>
        <v>1</v>
      </c>
      <c r="J31" s="11">
        <f>'03_门店顾问分解'!R25</f>
        <v>-3166.66666666667</v>
      </c>
      <c r="K31" s="12">
        <f t="shared" si="1"/>
        <v>0.00504808969658324</v>
      </c>
      <c r="L31" s="8">
        <f t="shared" si="2"/>
        <v>7</v>
      </c>
      <c r="M31" s="8">
        <f t="shared" si="3"/>
        <v>21</v>
      </c>
      <c r="N31" s="13">
        <f t="shared" si="4"/>
        <v>39.5</v>
      </c>
      <c r="O31" s="8">
        <f t="shared" si="5"/>
        <v>21</v>
      </c>
      <c r="P31" s="14">
        <f t="shared" si="6"/>
        <v>46.3321963533191</v>
      </c>
      <c r="Q31" s="8">
        <f t="shared" si="7"/>
        <v>20</v>
      </c>
      <c r="R31" s="9" t="str">
        <f t="shared" si="8"/>
        <v>优先帮扶：优化费用与线索质量</v>
      </c>
    </row>
    <row r="32" spans="1:18">
      <c r="A32" s="8">
        <f t="shared" si="0"/>
        <v>20</v>
      </c>
      <c r="B32" s="9" t="str">
        <f>'03_门店顾问分解'!A26</f>
        <v>上海沪青平店</v>
      </c>
      <c r="C32" s="9" t="str">
        <f>'03_门店顾问分解'!B26</f>
        <v>袁蕾蕾</v>
      </c>
      <c r="D32" s="10">
        <f>'03_门店顾问分解'!G26</f>
        <v>1</v>
      </c>
      <c r="E32" s="10">
        <f>'03_门店顾问分解'!H26</f>
        <v>1</v>
      </c>
      <c r="F32" s="10">
        <f>'03_门店顾问分解'!I26</f>
        <v>0</v>
      </c>
      <c r="G32" s="10">
        <f>'03_门店顾问分解'!J26</f>
        <v>2</v>
      </c>
      <c r="H32" s="10">
        <f>'03_门店顾问分解'!K26</f>
        <v>79</v>
      </c>
      <c r="I32" s="10">
        <f>'03_门店顾问分解'!L26</f>
        <v>1</v>
      </c>
      <c r="J32" s="11">
        <f>'03_门店顾问分解'!R26</f>
        <v>-3166.66666666667</v>
      </c>
      <c r="K32" s="12">
        <f t="shared" si="1"/>
        <v>0.00504808969658324</v>
      </c>
      <c r="L32" s="8">
        <f t="shared" si="2"/>
        <v>7</v>
      </c>
      <c r="M32" s="8">
        <f t="shared" si="3"/>
        <v>21</v>
      </c>
      <c r="N32" s="13">
        <f t="shared" si="4"/>
        <v>39.5</v>
      </c>
      <c r="O32" s="8">
        <f t="shared" si="5"/>
        <v>21</v>
      </c>
      <c r="P32" s="14">
        <f t="shared" si="6"/>
        <v>46.3321963533191</v>
      </c>
      <c r="Q32" s="8">
        <f t="shared" si="7"/>
        <v>20</v>
      </c>
      <c r="R32" s="9" t="str">
        <f t="shared" si="8"/>
        <v>优先帮扶：优化费用与线索质量</v>
      </c>
    </row>
    <row r="33" spans="1:18">
      <c r="A33" s="8">
        <f t="shared" si="0"/>
        <v>20</v>
      </c>
      <c r="B33" s="9" t="str">
        <f>'03_门店顾问分解'!A27</f>
        <v>上海沪青平店</v>
      </c>
      <c r="C33" s="9" t="str">
        <f>'03_门店顾问分解'!B27</f>
        <v>谭叶</v>
      </c>
      <c r="D33" s="10">
        <f>'03_门店顾问分解'!G27</f>
        <v>1</v>
      </c>
      <c r="E33" s="10">
        <f>'03_门店顾问分解'!H27</f>
        <v>1</v>
      </c>
      <c r="F33" s="10">
        <f>'03_门店顾问分解'!I27</f>
        <v>0</v>
      </c>
      <c r="G33" s="10">
        <f>'03_门店顾问分解'!J27</f>
        <v>2</v>
      </c>
      <c r="H33" s="10">
        <f>'03_门店顾问分解'!K27</f>
        <v>79</v>
      </c>
      <c r="I33" s="10">
        <f>'03_门店顾问分解'!L27</f>
        <v>1</v>
      </c>
      <c r="J33" s="11">
        <f>'03_门店顾问分解'!R27</f>
        <v>-3166.66666666667</v>
      </c>
      <c r="K33" s="12">
        <f t="shared" si="1"/>
        <v>0.00504808969658324</v>
      </c>
      <c r="L33" s="8">
        <f t="shared" si="2"/>
        <v>7</v>
      </c>
      <c r="M33" s="8">
        <f t="shared" si="3"/>
        <v>21</v>
      </c>
      <c r="N33" s="13">
        <f t="shared" si="4"/>
        <v>39.5</v>
      </c>
      <c r="O33" s="8">
        <f t="shared" si="5"/>
        <v>21</v>
      </c>
      <c r="P33" s="14">
        <f t="shared" si="6"/>
        <v>46.3321963533191</v>
      </c>
      <c r="Q33" s="8">
        <f t="shared" si="7"/>
        <v>20</v>
      </c>
      <c r="R33" s="9" t="str">
        <f t="shared" si="8"/>
        <v>优先帮扶：优化费用与线索质量</v>
      </c>
    </row>
    <row r="34" spans="1:18">
      <c r="A34" s="8">
        <f t="shared" si="0"/>
        <v>23</v>
      </c>
      <c r="B34" s="9" t="str">
        <f>'03_门店顾问分解'!A28</f>
        <v>上海中春店</v>
      </c>
      <c r="C34" s="9" t="str">
        <f>'03_门店顾问分解'!B28</f>
        <v>鲁平</v>
      </c>
      <c r="D34" s="10">
        <f>'03_门店顾问分解'!G28</f>
        <v>3</v>
      </c>
      <c r="E34" s="10">
        <f>'03_门店顾问分解'!H28</f>
        <v>3</v>
      </c>
      <c r="F34" s="10">
        <f>'03_门店顾问分解'!I28</f>
        <v>0</v>
      </c>
      <c r="G34" s="10">
        <f>'03_门店顾问分解'!J28</f>
        <v>6</v>
      </c>
      <c r="H34" s="10">
        <f>'03_门店顾问分解'!K28</f>
        <v>235</v>
      </c>
      <c r="I34" s="10">
        <f>'03_门店顾问分解'!L28</f>
        <v>2</v>
      </c>
      <c r="J34" s="11">
        <f>'03_门店顾问分解'!R28</f>
        <v>-93000</v>
      </c>
      <c r="K34" s="12">
        <f t="shared" si="1"/>
        <v>0.148254423720708</v>
      </c>
      <c r="L34" s="8">
        <f t="shared" si="2"/>
        <v>18</v>
      </c>
      <c r="M34" s="8">
        <f t="shared" si="3"/>
        <v>14</v>
      </c>
      <c r="N34" s="13">
        <f t="shared" si="4"/>
        <v>39.1666666666667</v>
      </c>
      <c r="O34" s="8">
        <f t="shared" si="5"/>
        <v>1</v>
      </c>
      <c r="P34" s="14">
        <f t="shared" si="6"/>
        <v>35.6508949805983</v>
      </c>
      <c r="Q34" s="8">
        <f t="shared" si="7"/>
        <v>23</v>
      </c>
      <c r="R34" s="9" t="str">
        <f t="shared" si="8"/>
        <v>优先帮扶：优化费用与线索质量</v>
      </c>
    </row>
    <row r="35" spans="1:18">
      <c r="A35" s="15" t="s">
        <v>204</v>
      </c>
      <c r="B35" s="16"/>
      <c r="C35" s="17"/>
      <c r="D35" s="15">
        <f t="shared" ref="D35:K35" si="9">SUM(D12:D34)</f>
        <v>75</v>
      </c>
      <c r="E35" s="15">
        <f t="shared" si="9"/>
        <v>60</v>
      </c>
      <c r="F35" s="15">
        <f t="shared" si="9"/>
        <v>15</v>
      </c>
      <c r="G35" s="15">
        <f t="shared" si="9"/>
        <v>150</v>
      </c>
      <c r="H35" s="15">
        <f t="shared" si="9"/>
        <v>5886</v>
      </c>
      <c r="I35" s="15">
        <f t="shared" si="9"/>
        <v>59</v>
      </c>
      <c r="J35" s="18">
        <f t="shared" si="9"/>
        <v>-627300</v>
      </c>
      <c r="K35" s="19">
        <f t="shared" si="9"/>
        <v>1</v>
      </c>
      <c r="L35" s="15"/>
      <c r="M35" s="15"/>
      <c r="N35" s="20">
        <f>AVERAGE(N12:N34)</f>
        <v>39.270082815735</v>
      </c>
      <c r="O35" s="15"/>
      <c r="P35" s="21">
        <f>AVERAGE(P12:P34)</f>
        <v>64.8249322243549</v>
      </c>
      <c r="Q35" s="15"/>
      <c r="R35" s="22"/>
    </row>
    <row r="38" spans="1:18">
      <c r="A38" s="3" t="s">
        <v>205</v>
      </c>
    </row>
    <row r="39" spans="1:18">
      <c r="A39" s="23" t="s">
        <v>206</v>
      </c>
      <c r="J39" s="23" t="s">
        <v>207</v>
      </c>
    </row>
    <row r="40" ht="31" customHeight="1" spans="1:18">
      <c r="A40" s="7" t="s">
        <v>194</v>
      </c>
      <c r="B40" s="7" t="s">
        <v>83</v>
      </c>
      <c r="C40" s="7" t="s">
        <v>208</v>
      </c>
      <c r="D40" s="7" t="s">
        <v>123</v>
      </c>
      <c r="E40" s="7" t="s">
        <v>201</v>
      </c>
      <c r="J40" s="7" t="s">
        <v>194</v>
      </c>
      <c r="K40" s="7" t="s">
        <v>83</v>
      </c>
      <c r="L40" s="7" t="s">
        <v>208</v>
      </c>
      <c r="M40" s="7" t="s">
        <v>123</v>
      </c>
      <c r="N40" s="7" t="s">
        <v>201</v>
      </c>
    </row>
    <row r="41" spans="1:18">
      <c r="A41" s="8">
        <v>1</v>
      </c>
      <c r="B41" s="9" t="str">
        <f>IFERROR(INDEX($B$12:$B$34,MATCH(A41,$Q$12:$Q$34,0)),"")</f>
        <v>上海车市店</v>
      </c>
      <c r="C41" s="9" t="str">
        <f>IFERROR(INDEX($C$12:$C$34,MATCH(A41,$Q$12:$Q$34,0)),"")</f>
        <v>马星晨</v>
      </c>
      <c r="D41" s="24">
        <f>IFERROR(INDEX($J$12:$J$34,MATCH(A41,$Q$12:$Q$34,0)),0)</f>
        <v>253.846153846156</v>
      </c>
      <c r="E41" s="25">
        <f>IFERROR(INDEX($P$12:$P$34,MATCH(A41,$Q$12:$Q$34,0)),0)</f>
        <v>83.0715671548379</v>
      </c>
      <c r="J41" s="8">
        <f>ROWS($A$1:$A$1)</f>
        <v>1</v>
      </c>
      <c r="K41" s="9" t="str">
        <f>IFERROR(INDEX($B$12:$B$34,MATCH($B$5-J41+1,$Q$12:$Q$34,0)),"")</f>
        <v/>
      </c>
      <c r="L41" s="9" t="str">
        <f>IFERROR(INDEX($C$12:$C$34,MATCH($B$5-J41+1,$Q$12:$Q$34,0)),"")</f>
        <v/>
      </c>
      <c r="M41" s="24">
        <f>IFERROR(INDEX($J$12:$J$34,MATCH($B$5-J41+1,$Q$12:$Q$34,0)),0)</f>
        <v>0</v>
      </c>
      <c r="N41" s="25">
        <f>IFERROR(INDEX($P$12:$P$34,MATCH($B$5-J41+1,$Q$12:$Q$34,0)),0)</f>
        <v>0</v>
      </c>
    </row>
    <row r="42" spans="1:18">
      <c r="A42" s="8">
        <v>2</v>
      </c>
      <c r="B42" s="9" t="str">
        <f>IFERROR(INDEX($B$12:$B$34,MATCH(A42,$Q$12:$Q$34,0)),"")</f>
        <v>上海车市店</v>
      </c>
      <c r="C42" s="9" t="str">
        <f>IFERROR(INDEX($C$12:$C$34,MATCH(A42,$Q$12:$Q$34,0)),"")</f>
        <v>王明龙</v>
      </c>
      <c r="D42" s="24">
        <f>IFERROR(INDEX($J$12:$J$34,MATCH(A42,$Q$12:$Q$34,0)),0)</f>
        <v>-246.153846153844</v>
      </c>
      <c r="E42" s="25">
        <f>IFERROR(INDEX($P$12:$P$34,MATCH(A42,$Q$12:$Q$34,0)),0)</f>
        <v>82.8173113030417</v>
      </c>
      <c r="J42" s="8">
        <f>ROWS($A$1:$A$2)</f>
        <v>2</v>
      </c>
      <c r="K42" s="9" t="str">
        <f>IFERROR(INDEX($B$12:$B$34,MATCH($B$5-J42+1,$Q$12:$Q$34,0)),"")</f>
        <v/>
      </c>
      <c r="L42" s="9" t="str">
        <f>IFERROR(INDEX($C$12:$C$34,MATCH($B$5-J42+1,$Q$12:$Q$34,0)),"")</f>
        <v/>
      </c>
      <c r="M42" s="24">
        <f>IFERROR(INDEX($J$12:$J$34,MATCH($B$5-J42+1,$Q$12:$Q$34,0)),0)</f>
        <v>0</v>
      </c>
      <c r="N42" s="25">
        <f>IFERROR(INDEX($P$12:$P$34,MATCH($B$5-J42+1,$Q$12:$Q$34,0)),0)</f>
        <v>0</v>
      </c>
    </row>
    <row r="43" spans="1:18">
      <c r="A43" s="8">
        <v>3</v>
      </c>
      <c r="B43" s="9" t="str">
        <f>IFERROR(INDEX($B$12:$B$34,MATCH(A43,$Q$12:$Q$34,0)),"")</f>
        <v>上海龙湖奉贤天街店</v>
      </c>
      <c r="C43" s="9" t="str">
        <f>IFERROR(INDEX($C$12:$C$34,MATCH(A43,$Q$12:$Q$34,0)),"")</f>
        <v>陆佳乐</v>
      </c>
      <c r="D43" s="24">
        <f>IFERROR(INDEX($J$12:$J$34,MATCH(A43,$Q$12:$Q$34,0)),0)</f>
        <v>-6933.33333333334</v>
      </c>
      <c r="E43" s="25">
        <f>IFERROR(INDEX($P$12:$P$34,MATCH(A43,$Q$12:$Q$34,0)),0)</f>
        <v>81.9168022697875</v>
      </c>
      <c r="J43" s="8">
        <f>ROWS($A$1:$A$3)</f>
        <v>3</v>
      </c>
      <c r="K43" s="9" t="str">
        <f>IFERROR(INDEX($B$12:$B$34,MATCH($B$5-J43+1,$Q$12:$Q$34,0)),"")</f>
        <v/>
      </c>
      <c r="L43" s="9" t="str">
        <f>IFERROR(INDEX($C$12:$C$34,MATCH($B$5-J43+1,$Q$12:$Q$34,0)),"")</f>
        <v/>
      </c>
      <c r="M43" s="24">
        <f>IFERROR(INDEX($J$12:$J$34,MATCH($B$5-J43+1,$Q$12:$Q$34,0)),0)</f>
        <v>0</v>
      </c>
      <c r="N43" s="25">
        <f>IFERROR(INDEX($P$12:$P$34,MATCH($B$5-J43+1,$Q$12:$Q$34,0)),0)</f>
        <v>0</v>
      </c>
    </row>
    <row r="44" spans="1:18">
      <c r="A44" s="8">
        <v>4</v>
      </c>
      <c r="B44" s="9" t="str">
        <f>IFERROR(INDEX($B$12:$B$34,MATCH(A44,$Q$12:$Q$34,0)),"")</f>
        <v>上海龙湖奉贤天街店</v>
      </c>
      <c r="C44" s="9" t="str">
        <f>IFERROR(INDEX($C$12:$C$34,MATCH(A44,$Q$12:$Q$34,0)),"")</f>
        <v>陈佳庆</v>
      </c>
      <c r="D44" s="24">
        <f>IFERROR(INDEX($J$12:$J$34,MATCH(A44,$Q$12:$Q$34,0)),0)</f>
        <v>-7433.33333333334</v>
      </c>
      <c r="E44" s="25">
        <f>IFERROR(INDEX($P$12:$P$34,MATCH(A44,$Q$12:$Q$34,0)),0)</f>
        <v>81.6625464179913</v>
      </c>
      <c r="J44" s="8">
        <f>ROWS($A$1:$A$4)</f>
        <v>4</v>
      </c>
      <c r="K44" s="9" t="str">
        <f>IFERROR(INDEX($B$12:$B$34,MATCH($B$5-J44+1,$Q$12:$Q$34,0)),"")</f>
        <v/>
      </c>
      <c r="L44" s="9" t="str">
        <f>IFERROR(INDEX($C$12:$C$34,MATCH($B$5-J44+1,$Q$12:$Q$34,0)),"")</f>
        <v/>
      </c>
      <c r="M44" s="24">
        <f>IFERROR(INDEX($J$12:$J$34,MATCH($B$5-J44+1,$Q$12:$Q$34,0)),0)</f>
        <v>0</v>
      </c>
      <c r="N44" s="25">
        <f>IFERROR(INDEX($P$12:$P$34,MATCH($B$5-J44+1,$Q$12:$Q$34,0)),0)</f>
        <v>0</v>
      </c>
    </row>
    <row r="45" spans="1:18">
      <c r="A45" s="8">
        <v>5</v>
      </c>
      <c r="B45" s="9" t="str">
        <f>IFERROR(INDEX($B$12:$B$34,MATCH(A45,$Q$12:$Q$34,0)),"")</f>
        <v/>
      </c>
      <c r="C45" s="9" t="str">
        <f>IFERROR(INDEX($C$12:$C$34,MATCH(A45,$Q$12:$Q$34,0)),"")</f>
        <v/>
      </c>
      <c r="D45" s="24">
        <f>IFERROR(INDEX($J$12:$J$34,MATCH(A45,$Q$12:$Q$34,0)),0)</f>
        <v>0</v>
      </c>
      <c r="E45" s="25">
        <f>IFERROR(INDEX($P$12:$P$34,MATCH(A45,$Q$12:$Q$34,0)),0)</f>
        <v>0</v>
      </c>
      <c r="J45" s="8">
        <f>ROWS($A$1:$A$5)</f>
        <v>5</v>
      </c>
      <c r="K45" s="9" t="str">
        <f>IFERROR(INDEX($B$12:$B$34,MATCH($B$5-J45+1,$Q$12:$Q$34,0)),"")</f>
        <v/>
      </c>
      <c r="L45" s="9" t="str">
        <f>IFERROR(INDEX($C$12:$C$34,MATCH($B$5-J45+1,$Q$12:$Q$34,0)),"")</f>
        <v/>
      </c>
      <c r="M45" s="24">
        <f>IFERROR(INDEX($J$12:$J$34,MATCH($B$5-J45+1,$Q$12:$Q$34,0)),0)</f>
        <v>0</v>
      </c>
      <c r="N45" s="25">
        <f>IFERROR(INDEX($P$12:$P$34,MATCH($B$5-J45+1,$Q$12:$Q$34,0)),0)</f>
        <v>0</v>
      </c>
    </row>
  </sheetData>
  <autoFilter xmlns:etc="http://www.wps.cn/officeDocument/2017/etCustomData" ref="A11:R35" etc:filterBottomFollowUsedRange="0">
    <extLst/>
  </autoFilter>
  <mergeCells count="8">
    <mergeCell ref="A1:R1"/>
    <mergeCell ref="A2:R2"/>
    <mergeCell ref="A4:R4"/>
    <mergeCell ref="A10:R10"/>
    <mergeCell ref="A35:C35"/>
    <mergeCell ref="A38:R38"/>
    <mergeCell ref="A39:I39"/>
    <mergeCell ref="J39:R39"/>
  </mergeCells>
  <conditionalFormatting sqref="J12:J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{9d66cf00-441c-4f9f-b4b6-51de3dffeb7c}</x14:id>
        </ext>
      </extLst>
    </cfRule>
    <cfRule type="expression" dxfId="0" priority="3" stopIfTrue="1">
      <formula>J12&lt;0</formula>
    </cfRule>
  </conditionalFormatting>
  <conditionalFormatting sqref="P12:P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66cf00-441c-4f9f-b4b6-51de3dffeb7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J12:J34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01_3月经营总表</vt:lpstr>
      <vt:lpstr>02_线索来源分解</vt:lpstr>
      <vt:lpstr>03_门店顾问分解</vt:lpstr>
      <vt:lpstr>04_周执行追踪</vt:lpstr>
      <vt:lpstr>05_销售分析排名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唐珣</cp:lastModifiedBy>
  <dcterms:created xsi:type="dcterms:W3CDTF">2026-02-28T19:29:00Z</dcterms:created>
  <dcterms:modified xsi:type="dcterms:W3CDTF">2026-03-01T06:44:19Z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FAED7D5CF82321C1CF21A469602A5D70_42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